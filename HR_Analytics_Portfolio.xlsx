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pp\Desktop\"/>
    </mc:Choice>
  </mc:AlternateContent>
  <xr:revisionPtr revIDLastSave="0" documentId="13_ncr:1_{1E3B5E10-8FA1-4303-A347-A42634F549BC}" xr6:coauthVersionLast="47" xr6:coauthVersionMax="47" xr10:uidLastSave="{00000000-0000-0000-0000-000000000000}"/>
  <bookViews>
    <workbookView xWindow="-110" yWindow="-110" windowWidth="19420" windowHeight="10300" activeTab="10" xr2:uid="{00000000-000D-0000-FFFF-FFFF00000000}"/>
  </bookViews>
  <sheets>
    <sheet name="Employees_Raw" sheetId="1" r:id="rId1"/>
    <sheet name="Employees_Cleaning" sheetId="6" r:id="rId2"/>
    <sheet name="Employee_Audit" sheetId="7" r:id="rId3"/>
    <sheet name="Workforce_Metrics" sheetId="8" r:id="rId4"/>
    <sheet name="HR_Dashboard" sheetId="9" r:id="rId5"/>
    <sheet name="Attendance_Raw" sheetId="2" r:id="rId6"/>
    <sheet name="Attendance_Clean" sheetId="11" r:id="rId7"/>
    <sheet name="Attendance_Audit" sheetId="12" r:id="rId8"/>
    <sheet name="Attendance_Dashboard" sheetId="13" r:id="rId9"/>
    <sheet name="Recruitment_Raw" sheetId="3" r:id="rId10"/>
    <sheet name="Data_Dictionary" sheetId="4" r:id="rId11"/>
    <sheet name="Project_Guide" sheetId="5" r:id="rId12"/>
  </sheets>
  <definedNames>
    <definedName name="_xlnm._FilterDatabase" localSheetId="6" hidden="1">Attendance_Clean!$A$1:$E$1201</definedName>
    <definedName name="_xlnm._FilterDatabase" localSheetId="5" hidden="1">Attendance_Raw!$A$1:$D$1201</definedName>
    <definedName name="_xlnm._FilterDatabase" localSheetId="10" hidden="1">Data_Dictionary!$A$1:$B$15</definedName>
    <definedName name="_xlnm._FilterDatabase" localSheetId="1" hidden="1">Employees_Cleaning!$A$1:$M$101</definedName>
    <definedName name="_xlnm._FilterDatabase" localSheetId="0" hidden="1">Employees_Raw!$A$1:$I$102</definedName>
    <definedName name="_xlnm._FilterDatabase" localSheetId="11" hidden="1">Project_Guide!$A$1:$B$10</definedName>
    <definedName name="_xlnm._FilterDatabase" localSheetId="9" hidden="1">Recruitment_Raw!$A$1:$G$31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2" l="1"/>
  <c r="H21" i="12"/>
  <c r="G21" i="12"/>
  <c r="F21" i="12"/>
  <c r="I20" i="12"/>
  <c r="H20" i="12"/>
  <c r="G20" i="12"/>
  <c r="F20" i="12"/>
  <c r="J20" i="12" s="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F692" i="11"/>
  <c r="F693" i="11"/>
  <c r="F694" i="11"/>
  <c r="F695" i="11"/>
  <c r="F696" i="11"/>
  <c r="F697" i="11"/>
  <c r="F698" i="11"/>
  <c r="F699" i="11"/>
  <c r="F700" i="11"/>
  <c r="F701" i="11"/>
  <c r="F702" i="11"/>
  <c r="F703" i="11"/>
  <c r="F704" i="11"/>
  <c r="F705" i="11"/>
  <c r="F706" i="11"/>
  <c r="F707" i="11"/>
  <c r="F708" i="11"/>
  <c r="F709" i="11"/>
  <c r="F710" i="11"/>
  <c r="F711" i="11"/>
  <c r="F712" i="11"/>
  <c r="F713" i="11"/>
  <c r="F714" i="11"/>
  <c r="F715" i="11"/>
  <c r="F716" i="11"/>
  <c r="F717" i="11"/>
  <c r="F718" i="11"/>
  <c r="F719" i="11"/>
  <c r="F720" i="11"/>
  <c r="F721" i="11"/>
  <c r="F722" i="11"/>
  <c r="F723" i="11"/>
  <c r="F724" i="11"/>
  <c r="F725" i="11"/>
  <c r="F726" i="11"/>
  <c r="F727" i="11"/>
  <c r="F728" i="11"/>
  <c r="F729" i="11"/>
  <c r="F730" i="11"/>
  <c r="F731" i="11"/>
  <c r="F732" i="11"/>
  <c r="F733" i="11"/>
  <c r="F734" i="11"/>
  <c r="F735" i="11"/>
  <c r="F736" i="11"/>
  <c r="F737" i="11"/>
  <c r="F738" i="11"/>
  <c r="F739" i="11"/>
  <c r="F740" i="11"/>
  <c r="F741" i="11"/>
  <c r="F742" i="11"/>
  <c r="F743" i="11"/>
  <c r="F744" i="11"/>
  <c r="F745" i="11"/>
  <c r="F746" i="11"/>
  <c r="F747" i="11"/>
  <c r="F748" i="11"/>
  <c r="F749" i="11"/>
  <c r="F750" i="11"/>
  <c r="F751" i="11"/>
  <c r="F752" i="11"/>
  <c r="F753" i="11"/>
  <c r="F754" i="11"/>
  <c r="F755" i="11"/>
  <c r="F756" i="11"/>
  <c r="F757" i="11"/>
  <c r="F758" i="11"/>
  <c r="F759" i="11"/>
  <c r="F760" i="11"/>
  <c r="F761" i="11"/>
  <c r="F762" i="11"/>
  <c r="F763" i="11"/>
  <c r="F764" i="11"/>
  <c r="F765" i="11"/>
  <c r="F766" i="11"/>
  <c r="F767" i="11"/>
  <c r="F768" i="11"/>
  <c r="F769" i="11"/>
  <c r="F770" i="11"/>
  <c r="F771" i="11"/>
  <c r="F772" i="11"/>
  <c r="F773" i="11"/>
  <c r="F774" i="11"/>
  <c r="F775" i="11"/>
  <c r="F776" i="11"/>
  <c r="F777" i="11"/>
  <c r="F778" i="11"/>
  <c r="F779" i="11"/>
  <c r="F780" i="11"/>
  <c r="F781" i="11"/>
  <c r="F782" i="11"/>
  <c r="F783" i="11"/>
  <c r="F784" i="11"/>
  <c r="F785" i="11"/>
  <c r="F786" i="11"/>
  <c r="F787" i="11"/>
  <c r="F788" i="11"/>
  <c r="F789" i="11"/>
  <c r="F790" i="11"/>
  <c r="F791" i="11"/>
  <c r="F792" i="11"/>
  <c r="F793" i="11"/>
  <c r="F794" i="11"/>
  <c r="F795" i="11"/>
  <c r="F796" i="11"/>
  <c r="F797" i="11"/>
  <c r="F798" i="11"/>
  <c r="F799" i="11"/>
  <c r="F800" i="11"/>
  <c r="F801" i="11"/>
  <c r="F802" i="11"/>
  <c r="F803" i="11"/>
  <c r="F804" i="11"/>
  <c r="F805" i="11"/>
  <c r="F806" i="11"/>
  <c r="F807" i="11"/>
  <c r="F808" i="11"/>
  <c r="F809" i="11"/>
  <c r="F810" i="11"/>
  <c r="F811" i="11"/>
  <c r="F812" i="11"/>
  <c r="F813" i="11"/>
  <c r="F814" i="11"/>
  <c r="F815" i="11"/>
  <c r="F816" i="11"/>
  <c r="F817" i="11"/>
  <c r="F818" i="11"/>
  <c r="F819" i="11"/>
  <c r="F820" i="11"/>
  <c r="F821" i="11"/>
  <c r="F822" i="11"/>
  <c r="F823" i="11"/>
  <c r="F824" i="11"/>
  <c r="F825" i="11"/>
  <c r="F826" i="11"/>
  <c r="F827" i="11"/>
  <c r="F828" i="11"/>
  <c r="F829" i="11"/>
  <c r="F830" i="11"/>
  <c r="F831" i="11"/>
  <c r="F832" i="11"/>
  <c r="F833" i="11"/>
  <c r="F834" i="11"/>
  <c r="F835" i="11"/>
  <c r="F836" i="11"/>
  <c r="F837" i="11"/>
  <c r="F838" i="11"/>
  <c r="F839" i="11"/>
  <c r="F840" i="11"/>
  <c r="F841" i="11"/>
  <c r="F842" i="11"/>
  <c r="F843" i="11"/>
  <c r="F844" i="11"/>
  <c r="F845" i="11"/>
  <c r="F846" i="11"/>
  <c r="F847" i="11"/>
  <c r="F848" i="11"/>
  <c r="F849" i="11"/>
  <c r="F850" i="11"/>
  <c r="F851" i="11"/>
  <c r="F852" i="11"/>
  <c r="F853" i="11"/>
  <c r="F854" i="11"/>
  <c r="F855" i="11"/>
  <c r="F856" i="11"/>
  <c r="F857" i="11"/>
  <c r="F858" i="11"/>
  <c r="F859" i="11"/>
  <c r="F860" i="11"/>
  <c r="F861" i="11"/>
  <c r="F862" i="11"/>
  <c r="F863" i="11"/>
  <c r="F864" i="11"/>
  <c r="F865" i="11"/>
  <c r="F866" i="11"/>
  <c r="F867" i="11"/>
  <c r="F868" i="11"/>
  <c r="F869" i="11"/>
  <c r="F870" i="11"/>
  <c r="F871" i="11"/>
  <c r="F872" i="11"/>
  <c r="F873" i="11"/>
  <c r="F874" i="11"/>
  <c r="F875" i="11"/>
  <c r="F876" i="11"/>
  <c r="F877" i="11"/>
  <c r="F878" i="11"/>
  <c r="F879" i="11"/>
  <c r="F880" i="11"/>
  <c r="F881" i="11"/>
  <c r="F882" i="11"/>
  <c r="F883" i="11"/>
  <c r="F884" i="11"/>
  <c r="F885" i="11"/>
  <c r="F886" i="11"/>
  <c r="F887" i="11"/>
  <c r="F888" i="11"/>
  <c r="F889" i="11"/>
  <c r="F890" i="11"/>
  <c r="F891" i="11"/>
  <c r="F892" i="11"/>
  <c r="F893" i="11"/>
  <c r="F894" i="11"/>
  <c r="F895" i="11"/>
  <c r="F896" i="11"/>
  <c r="F897" i="11"/>
  <c r="F898" i="11"/>
  <c r="F899" i="11"/>
  <c r="F900" i="11"/>
  <c r="F901" i="11"/>
  <c r="F902" i="11"/>
  <c r="F903" i="11"/>
  <c r="F904" i="11"/>
  <c r="F905" i="11"/>
  <c r="F906" i="11"/>
  <c r="F907" i="11"/>
  <c r="F908" i="11"/>
  <c r="F909" i="11"/>
  <c r="F910" i="11"/>
  <c r="F911" i="11"/>
  <c r="F912" i="11"/>
  <c r="F913" i="11"/>
  <c r="F914" i="11"/>
  <c r="F915" i="11"/>
  <c r="F916" i="11"/>
  <c r="F917" i="11"/>
  <c r="F918" i="11"/>
  <c r="F919" i="11"/>
  <c r="F920" i="11"/>
  <c r="F921" i="11"/>
  <c r="F922" i="11"/>
  <c r="F923" i="11"/>
  <c r="F924" i="11"/>
  <c r="F925" i="11"/>
  <c r="F926" i="11"/>
  <c r="F927" i="11"/>
  <c r="F928" i="11"/>
  <c r="F929" i="11"/>
  <c r="F930" i="11"/>
  <c r="F931" i="11"/>
  <c r="F932" i="11"/>
  <c r="F933" i="11"/>
  <c r="F934" i="11"/>
  <c r="F935" i="11"/>
  <c r="F936" i="11"/>
  <c r="F937" i="11"/>
  <c r="F938" i="11"/>
  <c r="F939" i="11"/>
  <c r="F940" i="11"/>
  <c r="F941" i="11"/>
  <c r="F942" i="11"/>
  <c r="F943" i="11"/>
  <c r="F944" i="11"/>
  <c r="F945" i="11"/>
  <c r="F946" i="11"/>
  <c r="F947" i="11"/>
  <c r="F948" i="11"/>
  <c r="F949" i="11"/>
  <c r="F950" i="11"/>
  <c r="F951" i="11"/>
  <c r="F952" i="11"/>
  <c r="F953" i="11"/>
  <c r="F954" i="11"/>
  <c r="F955" i="11"/>
  <c r="F956" i="11"/>
  <c r="F957" i="11"/>
  <c r="F958" i="11"/>
  <c r="F959" i="11"/>
  <c r="F960" i="11"/>
  <c r="F961" i="11"/>
  <c r="F962" i="11"/>
  <c r="F963" i="11"/>
  <c r="F964" i="11"/>
  <c r="F965" i="11"/>
  <c r="F966" i="11"/>
  <c r="F967" i="11"/>
  <c r="F968" i="11"/>
  <c r="F969" i="11"/>
  <c r="F970" i="11"/>
  <c r="F971" i="11"/>
  <c r="F972" i="11"/>
  <c r="F973" i="11"/>
  <c r="F974" i="11"/>
  <c r="F975" i="11"/>
  <c r="F976" i="11"/>
  <c r="F977" i="11"/>
  <c r="F978" i="11"/>
  <c r="F979" i="11"/>
  <c r="F980" i="11"/>
  <c r="F981" i="11"/>
  <c r="F982" i="11"/>
  <c r="F983" i="11"/>
  <c r="F984" i="11"/>
  <c r="F985" i="11"/>
  <c r="F986" i="11"/>
  <c r="F987" i="11"/>
  <c r="F988" i="11"/>
  <c r="F989" i="11"/>
  <c r="F990" i="11"/>
  <c r="F991" i="11"/>
  <c r="F992" i="11"/>
  <c r="F993" i="11"/>
  <c r="F994" i="11"/>
  <c r="F995" i="11"/>
  <c r="F996" i="11"/>
  <c r="F997" i="11"/>
  <c r="F998" i="11"/>
  <c r="F999" i="11"/>
  <c r="F1000" i="11"/>
  <c r="F1001" i="11"/>
  <c r="F1002" i="11"/>
  <c r="F1003" i="11"/>
  <c r="F1004" i="11"/>
  <c r="F1005" i="11"/>
  <c r="F1006" i="11"/>
  <c r="F1007" i="11"/>
  <c r="F1008" i="11"/>
  <c r="F1009" i="11"/>
  <c r="F1010" i="11"/>
  <c r="F1011" i="11"/>
  <c r="F1012" i="11"/>
  <c r="F1013" i="11"/>
  <c r="F1014" i="11"/>
  <c r="F1015" i="11"/>
  <c r="F1016" i="11"/>
  <c r="F1017" i="11"/>
  <c r="F1018" i="11"/>
  <c r="F1019" i="11"/>
  <c r="F1020" i="11"/>
  <c r="F1021" i="11"/>
  <c r="F1022" i="11"/>
  <c r="F1023" i="11"/>
  <c r="F1024" i="11"/>
  <c r="F1025" i="11"/>
  <c r="F1026" i="11"/>
  <c r="F1027" i="11"/>
  <c r="F1028" i="11"/>
  <c r="F1029" i="11"/>
  <c r="F1030" i="11"/>
  <c r="F1031" i="11"/>
  <c r="F1032" i="11"/>
  <c r="F1033" i="11"/>
  <c r="F1034" i="11"/>
  <c r="F1035" i="11"/>
  <c r="F1036" i="11"/>
  <c r="F1037" i="11"/>
  <c r="F1038" i="11"/>
  <c r="F1039" i="11"/>
  <c r="F1040" i="11"/>
  <c r="F1041" i="11"/>
  <c r="F1042" i="11"/>
  <c r="F1043" i="11"/>
  <c r="F1044" i="11"/>
  <c r="F1045" i="11"/>
  <c r="F1046" i="11"/>
  <c r="F1047" i="11"/>
  <c r="F1048" i="11"/>
  <c r="F1049" i="11"/>
  <c r="F1050" i="11"/>
  <c r="F1051" i="11"/>
  <c r="F1052" i="11"/>
  <c r="F1053" i="11"/>
  <c r="F1054" i="11"/>
  <c r="F1055" i="11"/>
  <c r="F1056" i="11"/>
  <c r="F1057" i="11"/>
  <c r="F1058" i="11"/>
  <c r="F1059" i="11"/>
  <c r="F1060" i="11"/>
  <c r="F1061" i="11"/>
  <c r="F1062" i="11"/>
  <c r="F1063" i="11"/>
  <c r="F1064" i="11"/>
  <c r="F1065" i="11"/>
  <c r="F1066" i="11"/>
  <c r="F1067" i="11"/>
  <c r="F1068" i="11"/>
  <c r="F1069" i="11"/>
  <c r="F1070" i="11"/>
  <c r="F1071" i="11"/>
  <c r="F1072" i="11"/>
  <c r="F1073" i="11"/>
  <c r="F1074" i="11"/>
  <c r="F1075" i="11"/>
  <c r="F1076" i="11"/>
  <c r="F1077" i="11"/>
  <c r="F1078" i="11"/>
  <c r="F1079" i="11"/>
  <c r="F1080" i="11"/>
  <c r="F1081" i="11"/>
  <c r="F1082" i="11"/>
  <c r="F1083" i="11"/>
  <c r="F1084" i="11"/>
  <c r="F1085" i="11"/>
  <c r="F1086" i="11"/>
  <c r="F1087" i="11"/>
  <c r="F1088" i="11"/>
  <c r="F1089" i="11"/>
  <c r="F1090" i="11"/>
  <c r="F1091" i="11"/>
  <c r="F1092" i="11"/>
  <c r="F1093" i="11"/>
  <c r="F1094" i="11"/>
  <c r="F1095" i="11"/>
  <c r="F1096" i="11"/>
  <c r="F1097" i="11"/>
  <c r="F1098" i="11"/>
  <c r="F1099" i="11"/>
  <c r="F1100" i="11"/>
  <c r="F1101" i="11"/>
  <c r="F1102" i="11"/>
  <c r="F1103" i="11"/>
  <c r="F1104" i="11"/>
  <c r="F1105" i="11"/>
  <c r="F1106" i="11"/>
  <c r="F1107" i="11"/>
  <c r="F1108" i="11"/>
  <c r="F1109" i="11"/>
  <c r="F1110" i="11"/>
  <c r="F1111" i="11"/>
  <c r="F1112" i="11"/>
  <c r="F1113" i="11"/>
  <c r="F1114" i="11"/>
  <c r="F1115" i="11"/>
  <c r="F1116" i="11"/>
  <c r="F1117" i="11"/>
  <c r="F1118" i="11"/>
  <c r="F1119" i="11"/>
  <c r="F1120" i="11"/>
  <c r="F1121" i="11"/>
  <c r="F1122" i="11"/>
  <c r="F1123" i="11"/>
  <c r="F1124" i="11"/>
  <c r="F1125" i="11"/>
  <c r="F1126" i="11"/>
  <c r="F1127" i="11"/>
  <c r="F1128" i="11"/>
  <c r="F1129" i="11"/>
  <c r="F1130" i="11"/>
  <c r="F1131" i="11"/>
  <c r="F1132" i="11"/>
  <c r="F1133" i="11"/>
  <c r="F1134" i="11"/>
  <c r="F1135" i="11"/>
  <c r="F1136" i="11"/>
  <c r="F1137" i="11"/>
  <c r="F1138" i="11"/>
  <c r="F1139" i="11"/>
  <c r="F1140" i="11"/>
  <c r="F1141" i="11"/>
  <c r="F1142" i="11"/>
  <c r="F1143" i="11"/>
  <c r="F1144" i="11"/>
  <c r="F1145" i="11"/>
  <c r="F1146" i="11"/>
  <c r="F1147" i="11"/>
  <c r="F1148" i="11"/>
  <c r="F1149" i="11"/>
  <c r="F1150" i="11"/>
  <c r="F1151" i="11"/>
  <c r="F1152" i="11"/>
  <c r="F1153" i="11"/>
  <c r="F1154" i="11"/>
  <c r="F1155" i="11"/>
  <c r="F1156" i="11"/>
  <c r="F1157" i="11"/>
  <c r="F1158" i="11"/>
  <c r="F1159" i="11"/>
  <c r="F1160" i="11"/>
  <c r="F1161" i="11"/>
  <c r="F1162" i="11"/>
  <c r="F1163" i="11"/>
  <c r="F1164" i="11"/>
  <c r="F1165" i="11"/>
  <c r="F1166" i="11"/>
  <c r="F1167" i="11"/>
  <c r="F1168" i="11"/>
  <c r="F1169" i="11"/>
  <c r="F1170" i="11"/>
  <c r="F1171" i="11"/>
  <c r="F1172" i="11"/>
  <c r="F1173" i="11"/>
  <c r="F1174" i="11"/>
  <c r="F1175" i="11"/>
  <c r="F1176" i="11"/>
  <c r="F1177" i="11"/>
  <c r="F1178" i="11"/>
  <c r="F1179" i="11"/>
  <c r="F1180" i="11"/>
  <c r="F1181" i="11"/>
  <c r="F1182" i="11"/>
  <c r="F1183" i="11"/>
  <c r="F1184" i="11"/>
  <c r="F1185" i="11"/>
  <c r="F1186" i="11"/>
  <c r="F1187" i="11"/>
  <c r="F1188" i="11"/>
  <c r="F1189" i="11"/>
  <c r="F1190" i="11"/>
  <c r="F1191" i="11"/>
  <c r="F1192" i="11"/>
  <c r="F1193" i="11"/>
  <c r="F1194" i="11"/>
  <c r="F1195" i="11"/>
  <c r="F1196" i="11"/>
  <c r="F1197" i="11"/>
  <c r="F1198" i="11"/>
  <c r="F1199" i="11"/>
  <c r="F1200" i="11"/>
  <c r="F1201" i="1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2" i="11"/>
  <c r="B6" i="12"/>
  <c r="B5" i="12"/>
  <c r="B4" i="12"/>
  <c r="B3" i="12"/>
  <c r="B2" i="12"/>
  <c r="L4" i="11"/>
  <c r="A43" i="8"/>
  <c r="C43" i="8"/>
  <c r="E43" i="8"/>
  <c r="G43" i="8"/>
  <c r="B21" i="8"/>
  <c r="B23" i="8"/>
  <c r="B22" i="8"/>
  <c r="E7" i="8"/>
  <c r="E8" i="8"/>
  <c r="E6" i="8"/>
  <c r="Q9" i="6" a="1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9" i="6"/>
  <c r="D8" i="6"/>
  <c r="D7" i="6"/>
  <c r="D6" i="6"/>
  <c r="D5" i="6"/>
  <c r="D4" i="6"/>
  <c r="D3" i="6"/>
  <c r="D2" i="6"/>
  <c r="B7" i="8" s="1"/>
  <c r="C7" i="8" s="1"/>
  <c r="S6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2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61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2" i="6"/>
  <c r="G2" i="11" l="1" a="1"/>
  <c r="B8" i="12" s="1"/>
  <c r="I15" i="12"/>
  <c r="I16" i="12"/>
  <c r="I17" i="12"/>
  <c r="I18" i="12"/>
  <c r="I19" i="12"/>
  <c r="I14" i="12"/>
  <c r="G15" i="12"/>
  <c r="G16" i="12"/>
  <c r="G17" i="12"/>
  <c r="G18" i="12"/>
  <c r="G19" i="12"/>
  <c r="G14" i="12"/>
  <c r="F15" i="12"/>
  <c r="F16" i="12"/>
  <c r="F17" i="12"/>
  <c r="F18" i="12"/>
  <c r="F19" i="12"/>
  <c r="F14" i="12"/>
  <c r="H15" i="12"/>
  <c r="H16" i="12"/>
  <c r="H17" i="12"/>
  <c r="H18" i="12"/>
  <c r="H19" i="12"/>
  <c r="H14" i="12"/>
  <c r="B15" i="12"/>
  <c r="B16" i="12"/>
  <c r="B17" i="12"/>
  <c r="B14" i="12"/>
  <c r="B18" i="12" s="1"/>
  <c r="E9" i="8"/>
  <c r="B8" i="8"/>
  <c r="C8" i="8" s="1"/>
  <c r="B9" i="8"/>
  <c r="C9" i="8" s="1"/>
  <c r="B10" i="8"/>
  <c r="C10" i="8" s="1"/>
  <c r="B11" i="8"/>
  <c r="C11" i="8" s="1"/>
  <c r="B6" i="8"/>
  <c r="C6" i="8" s="1"/>
  <c r="B2" i="8"/>
  <c r="S2" i="6" a="1"/>
  <c r="J15" i="12" l="1"/>
  <c r="J16" i="12"/>
  <c r="G25" i="12"/>
  <c r="H25" i="12"/>
  <c r="J14" i="12"/>
  <c r="J17" i="12"/>
  <c r="J18" i="12"/>
  <c r="J19" i="12"/>
  <c r="C15" i="12"/>
  <c r="C16" i="12"/>
  <c r="C17" i="12"/>
  <c r="C14" i="12"/>
  <c r="B12" i="8"/>
  <c r="K19" i="12" l="1"/>
  <c r="C18" i="12"/>
  <c r="J21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<sst xmlns="http://schemas.openxmlformats.org/spreadsheetml/2006/main" count="8978" uniqueCount="442">
  <si>
    <t>EmployeeID</t>
  </si>
  <si>
    <t>EmployeeName</t>
  </si>
  <si>
    <t>Department</t>
  </si>
  <si>
    <t>JobTitle</t>
  </si>
  <si>
    <t>HireDate</t>
  </si>
  <si>
    <t>EmploymentStatus</t>
  </si>
  <si>
    <t>Location</t>
  </si>
  <si>
    <t>MonthlySalaryNGN</t>
  </si>
  <si>
    <t>ManagerID</t>
  </si>
  <si>
    <t>E001</t>
  </si>
  <si>
    <t>Employee 001</t>
  </si>
  <si>
    <t>Operations</t>
  </si>
  <si>
    <t>Team Lead</t>
  </si>
  <si>
    <t>Active</t>
  </si>
  <si>
    <t>Lagos</t>
  </si>
  <si>
    <t>E002</t>
  </si>
  <si>
    <t>Employee 002</t>
  </si>
  <si>
    <t>Finance</t>
  </si>
  <si>
    <t>Payroll Officer</t>
  </si>
  <si>
    <t>Ibadan</t>
  </si>
  <si>
    <t>E003</t>
  </si>
  <si>
    <t>Employee 003</t>
  </si>
  <si>
    <t>IT</t>
  </si>
  <si>
    <t>Systems Administrator</t>
  </si>
  <si>
    <t>Inactive</t>
  </si>
  <si>
    <t>E004</t>
  </si>
  <si>
    <t>Employee 004</t>
  </si>
  <si>
    <t>Operations Analyst</t>
  </si>
  <si>
    <t>E005</t>
  </si>
  <si>
    <t>Employee 005</t>
  </si>
  <si>
    <t>On Leave</t>
  </si>
  <si>
    <t>E006</t>
  </si>
  <si>
    <t>Employee 006</t>
  </si>
  <si>
    <t>Sales</t>
  </si>
  <si>
    <t>Account Manager</t>
  </si>
  <si>
    <t>E007</t>
  </si>
  <si>
    <t>Employee 007</t>
  </si>
  <si>
    <t>Customer Support</t>
  </si>
  <si>
    <t>Support Team Lead</t>
  </si>
  <si>
    <t>E008</t>
  </si>
  <si>
    <t>Employee 008</t>
  </si>
  <si>
    <t>Human Resources</t>
  </si>
  <si>
    <t>HR Officer</t>
  </si>
  <si>
    <t>E009</t>
  </si>
  <si>
    <t>Employee 009</t>
  </si>
  <si>
    <t>Recruiter</t>
  </si>
  <si>
    <t>E010</t>
  </si>
  <si>
    <t>Employee 010</t>
  </si>
  <si>
    <t>Abuja</t>
  </si>
  <si>
    <t>E011</t>
  </si>
  <si>
    <t>Employee 011</t>
  </si>
  <si>
    <t>E012</t>
  </si>
  <si>
    <t>Employee 012</t>
  </si>
  <si>
    <t>E013</t>
  </si>
  <si>
    <t>Employee 013</t>
  </si>
  <si>
    <t>E014</t>
  </si>
  <si>
    <t>Employee 014</t>
  </si>
  <si>
    <t>Finance Analyst</t>
  </si>
  <si>
    <t>E015</t>
  </si>
  <si>
    <t>Employee 015</t>
  </si>
  <si>
    <t>E016</t>
  </si>
  <si>
    <t>Employee 016</t>
  </si>
  <si>
    <t>Customer Experience Officer</t>
  </si>
  <si>
    <t>E017</t>
  </si>
  <si>
    <t>Employee 017</t>
  </si>
  <si>
    <t>E018</t>
  </si>
  <si>
    <t>Employee 018</t>
  </si>
  <si>
    <t>Data Analyst</t>
  </si>
  <si>
    <t>active</t>
  </si>
  <si>
    <t>E019</t>
  </si>
  <si>
    <t>Employee 019</t>
  </si>
  <si>
    <t>IT Support Analyst</t>
  </si>
  <si>
    <t>E020</t>
  </si>
  <si>
    <t>Employee 020</t>
  </si>
  <si>
    <t>E021</t>
  </si>
  <si>
    <t>Employee 021</t>
  </si>
  <si>
    <t>E022</t>
  </si>
  <si>
    <t>Employee 022</t>
  </si>
  <si>
    <t>E023</t>
  </si>
  <si>
    <t>Employee 023</t>
  </si>
  <si>
    <t>E024</t>
  </si>
  <si>
    <t>Employee 024</t>
  </si>
  <si>
    <t>Support Agent</t>
  </si>
  <si>
    <t>E025</t>
  </si>
  <si>
    <t>Employee 025</t>
  </si>
  <si>
    <t>E026</t>
  </si>
  <si>
    <t>Employee 026</t>
  </si>
  <si>
    <t>Sales Executive</t>
  </si>
  <si>
    <t>E027</t>
  </si>
  <si>
    <t>Employee 027</t>
  </si>
  <si>
    <t xml:space="preserve">ACTIVE </t>
  </si>
  <si>
    <t>E028</t>
  </si>
  <si>
    <t>Employee 028</t>
  </si>
  <si>
    <t>Accountant</t>
  </si>
  <si>
    <t>E029</t>
  </si>
  <si>
    <t>Employee 029</t>
  </si>
  <si>
    <t>E030</t>
  </si>
  <si>
    <t>Employee 030</t>
  </si>
  <si>
    <t>E031</t>
  </si>
  <si>
    <t>Employee 031</t>
  </si>
  <si>
    <t>Sales Manager</t>
  </si>
  <si>
    <t>E032</t>
  </si>
  <si>
    <t>Employee 032</t>
  </si>
  <si>
    <t>E033</t>
  </si>
  <si>
    <t>Employee 033</t>
  </si>
  <si>
    <t>E034</t>
  </si>
  <si>
    <t>Employee 034</t>
  </si>
  <si>
    <t>E035</t>
  </si>
  <si>
    <t>Employee 035</t>
  </si>
  <si>
    <t>E036</t>
  </si>
  <si>
    <t>Employee 036</t>
  </si>
  <si>
    <t>E037</t>
  </si>
  <si>
    <t>Employee 037</t>
  </si>
  <si>
    <t>E038</t>
  </si>
  <si>
    <t>Employee 038</t>
  </si>
  <si>
    <t>E039</t>
  </si>
  <si>
    <t>Employee 039</t>
  </si>
  <si>
    <t>E040</t>
  </si>
  <si>
    <t>Employee 040</t>
  </si>
  <si>
    <t>E041</t>
  </si>
  <si>
    <t>Employee 041</t>
  </si>
  <si>
    <t>E042</t>
  </si>
  <si>
    <t>Employee 042</t>
  </si>
  <si>
    <t xml:space="preserve">Sales </t>
  </si>
  <si>
    <t>E043</t>
  </si>
  <si>
    <t>Employee 043</t>
  </si>
  <si>
    <t>E044</t>
  </si>
  <si>
    <t>Employee 044</t>
  </si>
  <si>
    <t>E045</t>
  </si>
  <si>
    <t>Employee 045</t>
  </si>
  <si>
    <t>E046</t>
  </si>
  <si>
    <t>Employee 046</t>
  </si>
  <si>
    <t>HR Analyst</t>
  </si>
  <si>
    <t>E047</t>
  </si>
  <si>
    <t>Employee 047</t>
  </si>
  <si>
    <t>E048</t>
  </si>
  <si>
    <t>Employee 048</t>
  </si>
  <si>
    <t>E049</t>
  </si>
  <si>
    <t>Employee 049</t>
  </si>
  <si>
    <t>E050</t>
  </si>
  <si>
    <t>Employee 050</t>
  </si>
  <si>
    <t>Operations Officer</t>
  </si>
  <si>
    <t>E051</t>
  </si>
  <si>
    <t>Employee 051</t>
  </si>
  <si>
    <t>E052</t>
  </si>
  <si>
    <t>Employee 052</t>
  </si>
  <si>
    <t>E053</t>
  </si>
  <si>
    <t>Employee 053</t>
  </si>
  <si>
    <t>E054</t>
  </si>
  <si>
    <t>Employee 054</t>
  </si>
  <si>
    <t>On leave</t>
  </si>
  <si>
    <t>E055</t>
  </si>
  <si>
    <t>Employee 055</t>
  </si>
  <si>
    <t>E056</t>
  </si>
  <si>
    <t>Employee 056</t>
  </si>
  <si>
    <t>E057</t>
  </si>
  <si>
    <t>Employee 057</t>
  </si>
  <si>
    <t>E058</t>
  </si>
  <si>
    <t>Employee 058</t>
  </si>
  <si>
    <t>E059</t>
  </si>
  <si>
    <t>Employee 059</t>
  </si>
  <si>
    <t>E060</t>
  </si>
  <si>
    <t>Employee 060</t>
  </si>
  <si>
    <t>E061</t>
  </si>
  <si>
    <t>Employee 061</t>
  </si>
  <si>
    <t>E062</t>
  </si>
  <si>
    <t>Employee 062</t>
  </si>
  <si>
    <t>E063</t>
  </si>
  <si>
    <t>Employee 063</t>
  </si>
  <si>
    <t>E064</t>
  </si>
  <si>
    <t>Employee 064</t>
  </si>
  <si>
    <t>E065</t>
  </si>
  <si>
    <t>Employee 065</t>
  </si>
  <si>
    <t>E066</t>
  </si>
  <si>
    <t>Employee 066</t>
  </si>
  <si>
    <t>E067</t>
  </si>
  <si>
    <t xml:space="preserve">  Employee 067  </t>
  </si>
  <si>
    <t>E068</t>
  </si>
  <si>
    <t>Employee 068</t>
  </si>
  <si>
    <t>E069</t>
  </si>
  <si>
    <t>Employee 069</t>
  </si>
  <si>
    <t>E070</t>
  </si>
  <si>
    <t>Employee 070</t>
  </si>
  <si>
    <t>E071</t>
  </si>
  <si>
    <t>Employee 071</t>
  </si>
  <si>
    <t>E072</t>
  </si>
  <si>
    <t>Employee 072</t>
  </si>
  <si>
    <t>E073</t>
  </si>
  <si>
    <t>Employee 073</t>
  </si>
  <si>
    <t>E074</t>
  </si>
  <si>
    <t>Employee 074</t>
  </si>
  <si>
    <t>E075</t>
  </si>
  <si>
    <t>Employee 075</t>
  </si>
  <si>
    <t>E076</t>
  </si>
  <si>
    <t>Employee 076</t>
  </si>
  <si>
    <t>E077</t>
  </si>
  <si>
    <t>Employee 077</t>
  </si>
  <si>
    <t>E078</t>
  </si>
  <si>
    <t>Employee 078</t>
  </si>
  <si>
    <t>E079</t>
  </si>
  <si>
    <t>Employee 079</t>
  </si>
  <si>
    <t>E080</t>
  </si>
  <si>
    <t>Employee 080</t>
  </si>
  <si>
    <t>E081</t>
  </si>
  <si>
    <t>Employee 081</t>
  </si>
  <si>
    <t>E082</t>
  </si>
  <si>
    <t>Employee 082</t>
  </si>
  <si>
    <t>E083</t>
  </si>
  <si>
    <t>Employee 083</t>
  </si>
  <si>
    <t>E084</t>
  </si>
  <si>
    <t>Employee 084</t>
  </si>
  <si>
    <t>E085</t>
  </si>
  <si>
    <t>Employee 085</t>
  </si>
  <si>
    <t>E086</t>
  </si>
  <si>
    <t>Employee 086</t>
  </si>
  <si>
    <t>E087</t>
  </si>
  <si>
    <t>Employee 087</t>
  </si>
  <si>
    <t>E088</t>
  </si>
  <si>
    <t>Employee 088</t>
  </si>
  <si>
    <t>E089</t>
  </si>
  <si>
    <t>Employee 089</t>
  </si>
  <si>
    <t>E090</t>
  </si>
  <si>
    <t>Employee 090</t>
  </si>
  <si>
    <t>E091</t>
  </si>
  <si>
    <t>Employee 091</t>
  </si>
  <si>
    <t>E092</t>
  </si>
  <si>
    <t>Employee 092</t>
  </si>
  <si>
    <t>E093</t>
  </si>
  <si>
    <t>Employee 093</t>
  </si>
  <si>
    <t>E094</t>
  </si>
  <si>
    <t>Employee 094</t>
  </si>
  <si>
    <t>E095</t>
  </si>
  <si>
    <t>Employee 095</t>
  </si>
  <si>
    <t>E096</t>
  </si>
  <si>
    <t>Employee 096</t>
  </si>
  <si>
    <t>E097</t>
  </si>
  <si>
    <t>Employee 097</t>
  </si>
  <si>
    <t>E098</t>
  </si>
  <si>
    <t>Employee 098</t>
  </si>
  <si>
    <t>E099</t>
  </si>
  <si>
    <t>Employee 099</t>
  </si>
  <si>
    <t>E100</t>
  </si>
  <si>
    <t>Employee 100</t>
  </si>
  <si>
    <t>AttendanceDate</t>
  </si>
  <si>
    <t>AttendanceStatus</t>
  </si>
  <si>
    <t>Absent</t>
  </si>
  <si>
    <t>Present</t>
  </si>
  <si>
    <t>Late</t>
  </si>
  <si>
    <t>CandidateID</t>
  </si>
  <si>
    <t>ApplicationDate</t>
  </si>
  <si>
    <t>RoleAppliedFor</t>
  </si>
  <si>
    <t>RecruitmentStage</t>
  </si>
  <si>
    <t>Source</t>
  </si>
  <si>
    <t>DaysToDecision</t>
  </si>
  <si>
    <t>C001</t>
  </si>
  <si>
    <t>Applied</t>
  </si>
  <si>
    <t>Company Website</t>
  </si>
  <si>
    <t>C002</t>
  </si>
  <si>
    <t>Interview</t>
  </si>
  <si>
    <t>LinkedIn</t>
  </si>
  <si>
    <t>C003</t>
  </si>
  <si>
    <t>C004</t>
  </si>
  <si>
    <t>Referral</t>
  </si>
  <si>
    <t>C005</t>
  </si>
  <si>
    <t>Hired</t>
  </si>
  <si>
    <t>C006</t>
  </si>
  <si>
    <t>Offer</t>
  </si>
  <si>
    <t>C007</t>
  </si>
  <si>
    <t>C008</t>
  </si>
  <si>
    <t>Rejected</t>
  </si>
  <si>
    <t>C009</t>
  </si>
  <si>
    <t>C010</t>
  </si>
  <si>
    <t>C011</t>
  </si>
  <si>
    <t>C012</t>
  </si>
  <si>
    <t>C013</t>
  </si>
  <si>
    <t>C014</t>
  </si>
  <si>
    <t>Job Board</t>
  </si>
  <si>
    <t>C015</t>
  </si>
  <si>
    <t>Screening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</si>
  <si>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</si>
  <si>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</si>
  <si>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</si>
  <si>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</si>
  <si>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</si>
  <si>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</si>
  <si>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</si>
  <si>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</si>
  <si>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</si>
  <si>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</si>
  <si>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</si>
  <si>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</si>
  <si>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</si>
  <si>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</si>
  <si>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</si>
  <si>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Field</t>
  </si>
  <si>
    <t>Definition</t>
  </si>
  <si>
    <t>Employee's role.</t>
  </si>
  <si>
    <t>Date employee joined the organisation.</t>
  </si>
  <si>
    <t>Work location.</t>
  </si>
  <si>
    <t>Date of an attendance record.</t>
  </si>
  <si>
    <t>Unique identifier assigned to a candidate.</t>
  </si>
  <si>
    <t>Current recruitment pipeline stage.</t>
  </si>
  <si>
    <t>Section</t>
  </si>
  <si>
    <t>Instructions</t>
  </si>
  <si>
    <t>Purpose</t>
  </si>
  <si>
    <t>Demonstrate employee data cleaning, workforce KPI reporting, and basic attendance/recruitment analysis using fictional data.</t>
  </si>
  <si>
    <t>Step 1</t>
  </si>
  <si>
    <t>Audit Employees_Raw: count rows, identify duplicate EmployeeIDs, missing departments, inconsistent status values, and extra spaces.</t>
  </si>
  <si>
    <t>Step 2</t>
  </si>
  <si>
    <t>Create a cleaned copy. Investigate duplicates before removal; document your rule. Standardise department/status text. Flag missing departments instead of guessing.</t>
  </si>
  <si>
    <t>Step 3</t>
  </si>
  <si>
    <t>Calculate unique employee count, active employee count, headcount by department, and status distribution. Explain how duplicates and missing values were handled.</t>
  </si>
  <si>
    <t>Step 4</t>
  </si>
  <si>
    <t>Analyse attendance by month/status and recruitment pipeline by stage/source.</t>
  </si>
  <si>
    <t>Step 5</t>
  </si>
  <si>
    <t>Build a Power BI dashboard with KPI cards, headcount by department, status distribution, attendance status, and recruitment stage.</t>
  </si>
  <si>
    <t>Step 6</t>
  </si>
  <si>
    <t>Write 3–5 evidence-based observations and practical recommendations. Separate findings from assumptions.</t>
  </si>
  <si>
    <t>Portfolio disclosure</t>
  </si>
  <si>
    <t>Clearly state that this is a practice project using synthetic data.</t>
  </si>
  <si>
    <t>Skills honesty</t>
  </si>
  <si>
    <t>Do not claim DAX, Power Query, data modelling, Power Automate, or Power Apps expertise unless practised and explainable.</t>
  </si>
  <si>
    <t>Duplicate_Check</t>
  </si>
  <si>
    <t>Consistency_Check</t>
  </si>
  <si>
    <t>Status_Clean</t>
  </si>
  <si>
    <t>Issue</t>
  </si>
  <si>
    <t>Employee ID</t>
  </si>
  <si>
    <t>Finding</t>
  </si>
  <si>
    <t>Action</t>
  </si>
  <si>
    <t>Reason</t>
  </si>
  <si>
    <t>Duplicate Employee ID</t>
  </si>
  <si>
    <t>Exact Duplicate</t>
  </si>
  <si>
    <t>Removed Duplicate</t>
  </si>
  <si>
    <t>I removed the duplicate after finding out that all fields were exactly the same</t>
  </si>
  <si>
    <t>Missing Department</t>
  </si>
  <si>
    <t>Department is blank</t>
  </si>
  <si>
    <t>Flagged for verification</t>
  </si>
  <si>
    <t>Department cannot be confirmed from available data, I need a reliable source</t>
  </si>
  <si>
    <t>Metric</t>
  </si>
  <si>
    <t>Value</t>
  </si>
  <si>
    <t>Active Employee Headcount</t>
  </si>
  <si>
    <t>Headcount by Department</t>
  </si>
  <si>
    <t>Employee Headcount</t>
  </si>
  <si>
    <t>Inconsistent Department</t>
  </si>
  <si>
    <t>uncessary space</t>
  </si>
  <si>
    <t>Space trimmed</t>
  </si>
  <si>
    <t>It was giving an error unique value, ultimately affecting the department headcount</t>
  </si>
  <si>
    <t>Employment Status</t>
  </si>
  <si>
    <t>Employee Count</t>
  </si>
  <si>
    <t>Salary Metrics</t>
  </si>
  <si>
    <t>Average Monthly Salary (NGN)</t>
  </si>
  <si>
    <t>Highest Monthly Salary (NGN)</t>
  </si>
  <si>
    <t>Lowest Monthly Salary (NGN)</t>
  </si>
  <si>
    <t>Workforce %</t>
  </si>
  <si>
    <t>Observations</t>
  </si>
  <si>
    <t>Highest Headcount</t>
  </si>
  <si>
    <t>Lowest Headcount</t>
  </si>
  <si>
    <t>Can't accurately determine the department with the lowest headcount because of the missing department</t>
  </si>
  <si>
    <t>Workforce Metrics Summary</t>
  </si>
  <si>
    <r>
      <rPr>
        <b/>
        <sz val="11"/>
        <color theme="1"/>
        <rFont val="Calibri"/>
        <family val="2"/>
        <scheme val="minor"/>
      </rPr>
      <t>Reporting Scope:</t>
    </r>
    <r>
      <rPr>
        <sz val="11"/>
        <color theme="1"/>
        <rFont val="Calibri"/>
        <family val="2"/>
        <scheme val="minor"/>
      </rPr>
      <t xml:space="preserve"> </t>
    </r>
  </si>
  <si>
    <t>100 employee records in the cleaned dataset</t>
  </si>
  <si>
    <r>
      <t>*</t>
    </r>
    <r>
      <rPr>
        <b/>
        <sz val="11"/>
        <color theme="1"/>
        <rFont val="Calibri"/>
        <family val="2"/>
        <scheme val="minor"/>
      </rPr>
      <t xml:space="preserve">Active workforce: </t>
    </r>
  </si>
  <si>
    <t>69 employees (69%)</t>
  </si>
  <si>
    <r>
      <t>*</t>
    </r>
    <r>
      <rPr>
        <b/>
        <sz val="11"/>
        <color theme="1"/>
        <rFont val="Calibri"/>
        <family val="2"/>
        <scheme val="minor"/>
      </rPr>
      <t xml:space="preserve">Inactive employees: </t>
    </r>
  </si>
  <si>
    <t>13 (13%)</t>
  </si>
  <si>
    <r>
      <t>*</t>
    </r>
    <r>
      <rPr>
        <b/>
        <sz val="11"/>
        <color theme="1"/>
        <rFont val="Calibri"/>
        <family val="2"/>
        <scheme val="minor"/>
      </rPr>
      <t xml:space="preserve">Employees on Leave: </t>
    </r>
  </si>
  <si>
    <t>18 (18%)</t>
  </si>
  <si>
    <r>
      <t>*</t>
    </r>
    <r>
      <rPr>
        <b/>
        <sz val="11"/>
        <color theme="1"/>
        <rFont val="Calibri"/>
        <family val="2"/>
        <scheme val="minor"/>
      </rPr>
      <t xml:space="preserve">Average Monthly Salary: </t>
    </r>
  </si>
  <si>
    <r>
      <t>*</t>
    </r>
    <r>
      <rPr>
        <b/>
        <sz val="11"/>
        <color theme="1"/>
        <rFont val="Calibri"/>
        <family val="2"/>
        <scheme val="minor"/>
      </rPr>
      <t xml:space="preserve">Salary range: </t>
    </r>
  </si>
  <si>
    <t>180,000 - 500,000 per month</t>
  </si>
  <si>
    <r>
      <t>*</t>
    </r>
    <r>
      <rPr>
        <b/>
        <sz val="11"/>
        <color theme="1"/>
        <rFont val="Calibri"/>
        <family val="2"/>
        <scheme val="minor"/>
      </rPr>
      <t xml:space="preserve">Largest department: </t>
    </r>
  </si>
  <si>
    <t>Human Resources, with 22 employees (22% of all employee records)</t>
  </si>
  <si>
    <r>
      <t>*</t>
    </r>
    <r>
      <rPr>
        <b/>
        <sz val="11"/>
        <color theme="1"/>
        <rFont val="Calibri"/>
        <family val="2"/>
        <scheme val="minor"/>
      </rPr>
      <t xml:space="preserve">Department data limitation: </t>
    </r>
  </si>
  <si>
    <t>One employee's department is missing.</t>
  </si>
  <si>
    <t>The record has been flagged for verification, so departmental comparison may change after the correct value is confirmed</t>
  </si>
  <si>
    <t xml:space="preserve">Recommendation: </t>
  </si>
  <si>
    <t>Verify the missing Department value and validate all department counts before using the figures for Staffing Decisions.</t>
  </si>
  <si>
    <t>Review Workforce status and salary metrics alongside business context before drawing management conclusions.</t>
  </si>
  <si>
    <t>HR WORKFORCE ANALYTICS DASHBOARD</t>
  </si>
  <si>
    <t>Total Employees</t>
  </si>
  <si>
    <t>Active Employees</t>
  </si>
  <si>
    <t>Average Monthly Salary</t>
  </si>
  <si>
    <t>Missing Departments</t>
  </si>
  <si>
    <r>
      <rPr>
        <b/>
        <sz val="12"/>
        <color theme="1"/>
        <rFont val="Calibri"/>
        <family val="2"/>
        <scheme val="minor"/>
      </rPr>
      <t>Reporting Scope:</t>
    </r>
    <r>
      <rPr>
        <sz val="12"/>
        <color theme="1"/>
        <rFont val="Calibri"/>
        <family val="2"/>
        <scheme val="minor"/>
      </rPr>
      <t xml:space="preserve"> 100 employee records | </t>
    </r>
    <r>
      <rPr>
        <b/>
        <sz val="12"/>
        <color theme="1"/>
        <rFont val="Calibri"/>
        <family val="2"/>
        <scheme val="minor"/>
      </rPr>
      <t>Data period:</t>
    </r>
    <r>
      <rPr>
        <sz val="12"/>
        <color theme="1"/>
        <rFont val="Calibri"/>
        <family val="2"/>
        <scheme val="minor"/>
      </rPr>
      <t xml:space="preserve"> Current dataset</t>
    </r>
  </si>
  <si>
    <t>Audit Check</t>
  </si>
  <si>
    <t>Blank EmployeeIDs</t>
  </si>
  <si>
    <t>Blank AttendanceDates</t>
  </si>
  <si>
    <t>Blank AttendanceStatuses</t>
  </si>
  <si>
    <t>Blank Departments</t>
  </si>
  <si>
    <t>Duplicate EmployeeID + Date combinations</t>
  </si>
  <si>
    <t>Distinct attendance statuses</t>
  </si>
  <si>
    <t>Interpretation</t>
  </si>
  <si>
    <t>Records being analysed</t>
  </si>
  <si>
    <t>No blanks detected</t>
  </si>
  <si>
    <t>Requires verification</t>
  </si>
  <si>
    <t>None flagged</t>
  </si>
  <si>
    <t>AttendanceStatus_Clean</t>
  </si>
  <si>
    <t>Distinct Status</t>
  </si>
  <si>
    <t>Status Standardization Method</t>
  </si>
  <si>
    <t>PROPER(TRIM())</t>
  </si>
  <si>
    <t>Cleaned Status Labels</t>
  </si>
  <si>
    <t>Original Attendance Data Preserved</t>
  </si>
  <si>
    <t>Yes</t>
  </si>
  <si>
    <t>Absent, Late, On Leave, Present</t>
  </si>
  <si>
    <t>Attendance Status</t>
  </si>
  <si>
    <t>Record Count</t>
  </si>
  <si>
    <t>% of Records</t>
  </si>
  <si>
    <t>Total</t>
  </si>
  <si>
    <t>Total Records</t>
  </si>
  <si>
    <t>Department_Clean</t>
  </si>
  <si>
    <t>Department-level reconciliation</t>
  </si>
  <si>
    <t>1188 records assigned to departments</t>
  </si>
  <si>
    <t>Missing Department records</t>
  </si>
  <si>
    <t>Absent records with missing department</t>
  </si>
  <si>
    <t xml:space="preserve">Reconciliation result </t>
  </si>
  <si>
    <t>203 department-level ansences + 1 unassigned absence = 204 total absences</t>
  </si>
  <si>
    <t>Recommended action</t>
  </si>
  <si>
    <t>Verify missing department record against an authoritative employee record</t>
  </si>
  <si>
    <t>Attendance Analysis</t>
  </si>
  <si>
    <t>Key Findings</t>
  </si>
  <si>
    <t>50 absent records</t>
  </si>
  <si>
    <t>25 absent records</t>
  </si>
  <si>
    <t>Missing departments</t>
  </si>
  <si>
    <t>12 records</t>
  </si>
  <si>
    <t>Total present</t>
  </si>
  <si>
    <t>Total absent</t>
  </si>
  <si>
    <t>The department with the highest absences</t>
  </si>
  <si>
    <t>The department with the lowest absences</t>
  </si>
  <si>
    <t>587 records; 49%</t>
  </si>
  <si>
    <t>204 records; 17%</t>
  </si>
  <si>
    <t>The presence of missing departments caused a discrepancy in recording those absent or present as some records could not accounted for. Department details need to be verified.</t>
  </si>
  <si>
    <t>Unassigned</t>
  </si>
  <si>
    <t>ATTENDANCE ANALYTICS</t>
  </si>
  <si>
    <t>Total Attendance</t>
  </si>
  <si>
    <r>
      <rPr>
        <b/>
        <sz val="12"/>
        <color theme="1"/>
        <rFont val="Calibri"/>
        <family val="2"/>
        <scheme val="minor"/>
      </rPr>
      <t>Reporting Scope :</t>
    </r>
    <r>
      <rPr>
        <sz val="12"/>
        <color theme="1"/>
        <rFont val="Calibri"/>
        <family val="2"/>
        <scheme val="minor"/>
      </rPr>
      <t xml:space="preserve"> 1200 Records</t>
    </r>
  </si>
  <si>
    <t>Employee identifier</t>
  </si>
  <si>
    <t>Employee display name.</t>
  </si>
  <si>
    <t>Employment status</t>
  </si>
  <si>
    <t>Monthly salary in Naira</t>
  </si>
  <si>
    <t>Manager identifier</t>
  </si>
  <si>
    <t>Attendance status.</t>
  </si>
  <si>
    <t>Days between application and decision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</si>
</sst>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_-[$₦-46A]* #,##0.00_-;\-[$₦-46A]* #,##0.00_-;_-[$₦-46A]* &quot;-&quot;??_-;_-@_-"/>
    <numFmt numFmtId="166" formatCode="_-[$₦-46A]* #,##0_-;\-[$₦-46A]* #,##0_-;_-[$₦-46A]* &quot;-&quot;_-;_-@_-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2" borderId="2" xfId="0" applyFont="1" applyFill="1" applyBorder="1" applyAlignment="1">
      <alignment vertical="center" wrapText="1"/>
    </xf>
    <xf numFmtId="0" fontId="3" fillId="0" borderId="0" xfId="0" applyFont="1"/>
    <xf numFmtId="165" fontId="0" fillId="0" borderId="0" xfId="0" applyNumberFormat="1"/>
    <xf numFmtId="9" fontId="0" fillId="0" borderId="0" xfId="1" applyFont="1"/>
    <xf numFmtId="166" fontId="0" fillId="0" borderId="0" xfId="0" applyNumberFormat="1"/>
    <xf numFmtId="0" fontId="0" fillId="0" borderId="0" xfId="0" applyAlignment="1">
      <alignment wrapText="1"/>
    </xf>
    <xf numFmtId="0" fontId="7" fillId="0" borderId="0" xfId="0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9" fontId="0" fillId="0" borderId="0" xfId="0" applyNumberFormat="1"/>
    <xf numFmtId="0" fontId="4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Employee Distribution</a:t>
            </a:r>
            <a:r>
              <a:rPr lang="en-US" b="1" baseline="0"/>
              <a:t> by Status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Workforce_Metrics!$E$5</c:f>
              <c:strCache>
                <c:ptCount val="1"/>
                <c:pt idx="0">
                  <c:v>Employee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9D-4FC7-9C99-A537EABAE1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9D-4FC7-9C99-A537EABAE1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9D-4FC7-9C99-A537EABAE1D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Workforce_Metrics!$D$6:$D$8</c:f>
              <c:strCache>
                <c:ptCount val="3"/>
                <c:pt idx="0">
                  <c:v>Active</c:v>
                </c:pt>
                <c:pt idx="1">
                  <c:v>Inactive</c:v>
                </c:pt>
                <c:pt idx="2">
                  <c:v>On Leave</c:v>
                </c:pt>
              </c:strCache>
            </c:strRef>
          </c:cat>
          <c:val>
            <c:numRef>
              <c:f>Workforce_Metrics!$E$6:$E$8</c:f>
              <c:numCache>
                <c:formatCode>General</c:formatCode>
                <c:ptCount val="3"/>
                <c:pt idx="0">
                  <c:v>69</c:v>
                </c:pt>
                <c:pt idx="1">
                  <c:v>13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9D-4FC7-9C99-A537EABAE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Headcount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Workforce_Metrics!$B$5</c:f>
              <c:strCache>
                <c:ptCount val="1"/>
                <c:pt idx="0">
                  <c:v>Employee Headcount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Workforce_Metrics!$A$6:$A$11</c:f>
              <c:strCache>
                <c:ptCount val="6"/>
                <c:pt idx="0">
                  <c:v>Customer Support</c:v>
                </c:pt>
                <c:pt idx="1">
                  <c:v>IT</c:v>
                </c:pt>
                <c:pt idx="2">
                  <c:v>Finance</c:v>
                </c:pt>
                <c:pt idx="3">
                  <c:v>Human Resources</c:v>
                </c:pt>
                <c:pt idx="4">
                  <c:v>Sales</c:v>
                </c:pt>
                <c:pt idx="5">
                  <c:v>Operations</c:v>
                </c:pt>
              </c:strCache>
            </c:strRef>
          </c:cat>
          <c:val>
            <c:numRef>
              <c:f>Workforce_Metrics!$B$6:$B$11</c:f>
              <c:numCache>
                <c:formatCode>General</c:formatCode>
                <c:ptCount val="6"/>
                <c:pt idx="0">
                  <c:v>18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14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4-4347-B5DE-6F8CED72CF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17093712"/>
        <c:axId val="617092656"/>
      </c:barChart>
      <c:catAx>
        <c:axId val="617093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92656"/>
        <c:crosses val="autoZero"/>
        <c:auto val="1"/>
        <c:lblAlgn val="ctr"/>
        <c:lblOffset val="100"/>
        <c:noMultiLvlLbl val="0"/>
      </c:catAx>
      <c:valAx>
        <c:axId val="61709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09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Attendance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Attendance_Audit!$C$13</c:f>
              <c:strCache>
                <c:ptCount val="1"/>
                <c:pt idx="0">
                  <c:v>% of Records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Attendance_Audit!$A$14:$A$18</c:f>
              <c:strCache>
                <c:ptCount val="5"/>
                <c:pt idx="0">
                  <c:v>Present</c:v>
                </c:pt>
                <c:pt idx="1">
                  <c:v>Absent</c:v>
                </c:pt>
                <c:pt idx="2">
                  <c:v>Late</c:v>
                </c:pt>
                <c:pt idx="3">
                  <c:v>On Leave</c:v>
                </c:pt>
                <c:pt idx="4">
                  <c:v>Total</c:v>
                </c:pt>
              </c:strCache>
            </c:strRef>
          </c:cat>
          <c:val>
            <c:numRef>
              <c:f>Attendance_Audit!$C$14:$C$18</c:f>
              <c:numCache>
                <c:formatCode>0%</c:formatCode>
                <c:ptCount val="5"/>
                <c:pt idx="0">
                  <c:v>0.48916666666666669</c:v>
                </c:pt>
                <c:pt idx="1">
                  <c:v>0.17</c:v>
                </c:pt>
                <c:pt idx="2">
                  <c:v>0.16666666666666666</c:v>
                </c:pt>
                <c:pt idx="3">
                  <c:v>0.17416666666666666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B-4DDE-8084-64254C8F36A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Absences</a:t>
            </a:r>
            <a:r>
              <a:rPr lang="en-US" b="1" baseline="0"/>
              <a:t> by Department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Attendance_Audit!$G$13</c:f>
              <c:strCache>
                <c:ptCount val="1"/>
                <c:pt idx="0">
                  <c:v>Absent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Attendance_Audit!$E$14:$E$20</c:f>
              <c:strCache>
                <c:ptCount val="7"/>
                <c:pt idx="0">
                  <c:v>Human Resources</c:v>
                </c:pt>
                <c:pt idx="1">
                  <c:v>Customer Support</c:v>
                </c:pt>
                <c:pt idx="2">
                  <c:v>Operations</c:v>
                </c:pt>
                <c:pt idx="3">
                  <c:v>Finance</c:v>
                </c:pt>
                <c:pt idx="4">
                  <c:v>IT</c:v>
                </c:pt>
                <c:pt idx="5">
                  <c:v>Sales</c:v>
                </c:pt>
                <c:pt idx="6">
                  <c:v>Unassigned</c:v>
                </c:pt>
              </c:strCache>
            </c:strRef>
          </c:cat>
          <c:val>
            <c:numRef>
              <c:f>Attendance_Audit!$G$14:$G$20</c:f>
              <c:numCache>
                <c:formatCode>General</c:formatCode>
                <c:ptCount val="7"/>
                <c:pt idx="0">
                  <c:v>50</c:v>
                </c:pt>
                <c:pt idx="1">
                  <c:v>36</c:v>
                </c:pt>
                <c:pt idx="2">
                  <c:v>25</c:v>
                </c:pt>
                <c:pt idx="3">
                  <c:v>28</c:v>
                </c:pt>
                <c:pt idx="4">
                  <c:v>30</c:v>
                </c:pt>
                <c:pt idx="5">
                  <c:v>34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F-4757-B39A-F7EB4A312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6622616"/>
        <c:axId val="596622968"/>
      </c:barChart>
      <c:catAx>
        <c:axId val="596622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622968"/>
        <c:crosses val="autoZero"/>
        <c:auto val="1"/>
        <c:lblAlgn val="ctr"/>
        <c:lblOffset val="100"/>
        <c:noMultiLvlLbl val="0"/>
      </c:catAx>
      <c:valAx>
        <c:axId val="59662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622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1104900</xdr:colOff>
      <xdr:row>8</xdr:row>
      <xdr:rowOff>63500</xdr:rowOff>
    </xdr:from>
    <xdr:to>
      <xdr:col>11</xdr:col>
      <xdr:colOff>292100</xdr:colOff>
      <xdr:row>23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AB3CFF-264B-4BF0-B143-5CA0754EDD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8</xdr:row>
      <xdr:rowOff>57150</xdr:rowOff>
    </xdr:from>
    <xdr:to>
      <xdr:col>4</xdr:col>
      <xdr:colOff>806450</xdr:colOff>
      <xdr:row>23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27BC06-E93F-4E76-A99F-9FDD5BC58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190500</xdr:colOff>
      <xdr:row>3</xdr:row>
      <xdr:rowOff>88900</xdr:rowOff>
    </xdr:from>
    <xdr:to>
      <xdr:col>1</xdr:col>
      <xdr:colOff>304800</xdr:colOff>
      <xdr:row>6</xdr:row>
      <xdr:rowOff>114300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13CDBF39-0081-4CE4-4E58-C1CC5DFEBD0E}"/>
            </a:ext>
          </a:extLst>
        </xdr:cNvPr>
        <xdr:cNvGrpSpPr/>
      </xdr:nvGrpSpPr>
      <xdr:grpSpPr>
        <a:xfrm>
          <a:off x="190500" y="800100"/>
          <a:ext cx="1390650" cy="577850"/>
          <a:chOff x="190500" y="787400"/>
          <a:chExt cx="1390650" cy="577850"/>
        </a:xfrm>
      </xdr:grpSpPr>
      <xdr:sp macro="" textlink="Workforce_Metrics!A42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D5045D06-7BB1-38F0-DA0B-451542901DC2}"/>
              </a:ext>
            </a:extLst>
          </xdr:cNvPr>
          <xdr:cNvSpPr/>
        </xdr:nvSpPr>
        <xdr:spPr>
          <a:xfrm>
            <a:off x="190500" y="787400"/>
            <a:ext cx="1390650" cy="577850"/>
          </a:xfrm>
          <a:prstGeom prst="roundRect">
            <a:avLst/>
          </a:prstGeom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fld id="{60992D33-150F-466C-8A96-74836E2A8C1B}" type="TxLink">
              <a:rPr lang="en-US" sz="11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Total Employees</a:t>
            </a:fld>
            <a:endParaRPr lang="en-US" sz="1100"/>
          </a:p>
        </xdr:txBody>
      </xdr:sp>
      <xdr:sp macro="" textlink="Workforce_Metrics!A43">
        <xdr:nvSpPr>
          <xdr:cNvPr id="10" name="TextBox 9">
            <a:extLst>
              <a:ext uri="{FF2B5EF4-FFF2-40B4-BE49-F238E27FC236}">
                <a16:creationId xmlns:a16="http://schemas.microsoft.com/office/drawing/2014/main" id="{A162BB14-B351-D7D0-F293-638087072BB4}"/>
              </a:ext>
            </a:extLst>
          </xdr:cNvPr>
          <xdr:cNvSpPr txBox="1"/>
        </xdr:nvSpPr>
        <xdr:spPr>
          <a:xfrm>
            <a:off x="596900" y="1016000"/>
            <a:ext cx="647700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fld id="{3C047DA9-9ECB-4DC0-86E1-EFEACF3F4410}" type="TxLink">
              <a:rPr lang="en-US" sz="16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100</a:t>
            </a:fld>
            <a:endParaRPr lang="en-US" sz="1600"/>
          </a:p>
        </xdr:txBody>
      </xdr:sp>
    </xdr:grpSp>
    <xdr:clientData/>
  </xdr:twoCellAnchor>
  <xdr:twoCellAnchor>
    <xdr:from>
      <xdr:col>2</xdr:col>
      <xdr:colOff>361950</xdr:colOff>
      <xdr:row>3</xdr:row>
      <xdr:rowOff>82550</xdr:rowOff>
    </xdr:from>
    <xdr:to>
      <xdr:col>3</xdr:col>
      <xdr:colOff>444500</xdr:colOff>
      <xdr:row>6</xdr:row>
      <xdr:rowOff>107950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3CBF3C4D-CD58-5E97-160F-9459BD6ED8C5}"/>
            </a:ext>
          </a:extLst>
        </xdr:cNvPr>
        <xdr:cNvGrpSpPr/>
      </xdr:nvGrpSpPr>
      <xdr:grpSpPr>
        <a:xfrm>
          <a:off x="2247900" y="793750"/>
          <a:ext cx="1390650" cy="577850"/>
          <a:chOff x="3194050" y="698500"/>
          <a:chExt cx="1390650" cy="577850"/>
        </a:xfrm>
      </xdr:grpSpPr>
      <xdr:sp macro="" textlink="Workforce_Metrics!C42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F6096632-9C27-D4CB-C879-FF2ADC332976}"/>
              </a:ext>
            </a:extLst>
          </xdr:cNvPr>
          <xdr:cNvSpPr/>
        </xdr:nvSpPr>
        <xdr:spPr>
          <a:xfrm>
            <a:off x="3194050" y="698500"/>
            <a:ext cx="1390650" cy="577850"/>
          </a:xfrm>
          <a:prstGeom prst="roundRect">
            <a:avLst/>
          </a:prstGeom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fld id="{2785F531-FF94-483D-97D2-2D0BB71E0FE2}" type="TxLink">
              <a:rPr lang="en-US" sz="11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Active Employees</a:t>
            </a:fld>
            <a:endParaRPr lang="en-US" sz="1100"/>
          </a:p>
        </xdr:txBody>
      </xdr:sp>
      <xdr:sp macro="" textlink="Workforce_Metrics!C43">
        <xdr:nvSpPr>
          <xdr:cNvPr id="15" name="TextBox 14">
            <a:extLst>
              <a:ext uri="{FF2B5EF4-FFF2-40B4-BE49-F238E27FC236}">
                <a16:creationId xmlns:a16="http://schemas.microsoft.com/office/drawing/2014/main" id="{0252500B-960B-6F95-978A-93AD32A1E48A}"/>
              </a:ext>
            </a:extLst>
          </xdr:cNvPr>
          <xdr:cNvSpPr txBox="1"/>
        </xdr:nvSpPr>
        <xdr:spPr>
          <a:xfrm>
            <a:off x="3600450" y="927100"/>
            <a:ext cx="647700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fld id="{1D79BF1A-98FF-4231-9AC8-633342578559}" type="TxLink">
              <a:rPr lang="en-US" sz="16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69</a:t>
            </a:fld>
            <a:endParaRPr lang="en-US" sz="1600"/>
          </a:p>
        </xdr:txBody>
      </xdr:sp>
    </xdr:grpSp>
    <xdr:clientData/>
  </xdr:twoCellAnchor>
  <xdr:twoCellAnchor>
    <xdr:from>
      <xdr:col>4</xdr:col>
      <xdr:colOff>387350</xdr:colOff>
      <xdr:row>3</xdr:row>
      <xdr:rowOff>127000</xdr:rowOff>
    </xdr:from>
    <xdr:to>
      <xdr:col>6</xdr:col>
      <xdr:colOff>438150</xdr:colOff>
      <xdr:row>6</xdr:row>
      <xdr:rowOff>152400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AD025538-8C68-DD0A-5CDD-30C6D42C1BE5}"/>
            </a:ext>
          </a:extLst>
        </xdr:cNvPr>
        <xdr:cNvGrpSpPr/>
      </xdr:nvGrpSpPr>
      <xdr:grpSpPr>
        <a:xfrm>
          <a:off x="4191000" y="838200"/>
          <a:ext cx="1930400" cy="577850"/>
          <a:chOff x="4191000" y="825500"/>
          <a:chExt cx="1930400" cy="577850"/>
        </a:xfrm>
      </xdr:grpSpPr>
      <xdr:sp macro="" textlink="Workforce_Metrics!E42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A4F63323-001C-C4D7-7B21-E750EA7651B6}"/>
              </a:ext>
            </a:extLst>
          </xdr:cNvPr>
          <xdr:cNvSpPr/>
        </xdr:nvSpPr>
        <xdr:spPr>
          <a:xfrm>
            <a:off x="4191000" y="825500"/>
            <a:ext cx="1930400" cy="577850"/>
          </a:xfrm>
          <a:prstGeom prst="roundRect">
            <a:avLst/>
          </a:prstGeom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fld id="{660E0874-F512-4097-94D2-8D4530FD82DA}" type="TxLink">
              <a:rPr lang="en-US" sz="11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Average Monthly Salary</a:t>
            </a:fld>
            <a:endParaRPr lang="en-US" sz="1100"/>
          </a:p>
        </xdr:txBody>
      </xdr:sp>
      <xdr:sp macro="" textlink="Workforce_Metrics!E43">
        <xdr:nvSpPr>
          <xdr:cNvPr id="19" name="TextBox 18">
            <a:extLst>
              <a:ext uri="{FF2B5EF4-FFF2-40B4-BE49-F238E27FC236}">
                <a16:creationId xmlns:a16="http://schemas.microsoft.com/office/drawing/2014/main" id="{8F1C06CE-E520-1C70-80E8-7DC1C4C263DF}"/>
              </a:ext>
            </a:extLst>
          </xdr:cNvPr>
          <xdr:cNvSpPr txBox="1"/>
        </xdr:nvSpPr>
        <xdr:spPr>
          <a:xfrm>
            <a:off x="4559300" y="1035050"/>
            <a:ext cx="1130300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fld id="{6C4DFD37-C4C2-46DD-AEE3-13E1913D4AD2}" type="TxLink">
              <a:rPr lang="en-US" sz="16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 ₦340,800 </a:t>
            </a:fld>
            <a:endParaRPr lang="en-US" sz="1600"/>
          </a:p>
        </xdr:txBody>
      </xdr:sp>
    </xdr:grpSp>
    <xdr:clientData/>
  </xdr:twoCellAnchor>
  <xdr:twoCellAnchor>
    <xdr:from>
      <xdr:col>6</xdr:col>
      <xdr:colOff>863600</xdr:colOff>
      <xdr:row>3</xdr:row>
      <xdr:rowOff>133350</xdr:rowOff>
    </xdr:from>
    <xdr:to>
      <xdr:col>9</xdr:col>
      <xdr:colOff>298450</xdr:colOff>
      <xdr:row>6</xdr:row>
      <xdr:rowOff>158750</xdr:rowOff>
    </xdr:to>
    <xdr:sp macro="" textlink="Workforce_Metrics!G42">
      <xdr:nvSpPr>
        <xdr:cNvPr id="21" name="Rectangle: Rounded Corners 20">
          <a:extLst>
            <a:ext uri="{FF2B5EF4-FFF2-40B4-BE49-F238E27FC236}">
              <a16:creationId xmlns:a16="http://schemas.microsoft.com/office/drawing/2014/main" id="{800AA854-3779-553C-1E35-E7E1EA6B601C}"/>
            </a:ext>
          </a:extLst>
        </xdr:cNvPr>
        <xdr:cNvSpPr/>
      </xdr:nvSpPr>
      <xdr:spPr>
        <a:xfrm>
          <a:off x="6546850" y="831850"/>
          <a:ext cx="1720850" cy="577850"/>
        </a:xfrm>
        <a:prstGeom prst="roundRect">
          <a:avLst/>
        </a:prstGeom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fld id="{EB0F33F9-7CE5-4F2D-B2C8-09A2D4CB4985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Missing Departments</a:t>
          </a:fld>
          <a:endParaRPr lang="en-US" sz="1100"/>
        </a:p>
      </xdr:txBody>
    </xdr:sp>
    <xdr:clientData/>
  </xdr:twoCellAnchor>
  <xdr:twoCellAnchor>
    <xdr:from>
      <xdr:col>7</xdr:col>
      <xdr:colOff>292100</xdr:colOff>
      <xdr:row>4</xdr:row>
      <xdr:rowOff>165100</xdr:rowOff>
    </xdr:from>
    <xdr:to>
      <xdr:col>8</xdr:col>
      <xdr:colOff>330200</xdr:colOff>
      <xdr:row>6</xdr:row>
      <xdr:rowOff>139586</xdr:rowOff>
    </xdr:to>
    <xdr:sp macro="" textlink="Workforce_Metrics!G43">
      <xdr:nvSpPr>
        <xdr:cNvPr id="22" name="TextBox 21">
          <a:extLst>
            <a:ext uri="{FF2B5EF4-FFF2-40B4-BE49-F238E27FC236}">
              <a16:creationId xmlns:a16="http://schemas.microsoft.com/office/drawing/2014/main" id="{8F4B6347-FAB1-B144-D9E4-8F832CAD660F}"/>
            </a:ext>
          </a:extLst>
        </xdr:cNvPr>
        <xdr:cNvSpPr txBox="1"/>
      </xdr:nvSpPr>
      <xdr:spPr>
        <a:xfrm>
          <a:off x="7042150" y="1047750"/>
          <a:ext cx="64770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61E868EF-4D43-4B1D-89C1-EBAD68EEA9C0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</a:t>
          </a:fld>
          <a:endParaRPr lang="en-US" sz="1600"/>
        </a:p>
      </xdr:txBody>
    </xdr:sp>
    <xdr:clientData/>
  </xdr:twoCellAnchor>
  <xdr:oneCellAnchor>
    <xdr:from>
      <xdr:col>0</xdr:col>
      <xdr:colOff>69850</xdr:colOff>
      <xdr:row>25</xdr:row>
      <xdr:rowOff>120650</xdr:rowOff>
    </xdr:from>
    <xdr:ext cx="7932236" cy="140743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21E91C6-8125-4EDD-6124-A8D84E6DE965}"/>
            </a:ext>
          </a:extLst>
        </xdr:cNvPr>
        <xdr:cNvSpPr txBox="1"/>
      </xdr:nvSpPr>
      <xdr:spPr>
        <a:xfrm>
          <a:off x="69850" y="4870450"/>
          <a:ext cx="7932236" cy="14074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/>
            <a:t>Key Findings and Data Limitations</a:t>
          </a:r>
          <a:br>
            <a:rPr lang="en-US" sz="1200"/>
          </a:br>
          <a:br>
            <a:rPr lang="en-US" sz="1200"/>
          </a:br>
          <a:r>
            <a:rPr lang="en-US" sz="1200" b="1"/>
            <a:t>1. Workforce Status:</a:t>
          </a:r>
          <a:r>
            <a:rPr lang="en-US" sz="1200" baseline="0"/>
            <a:t> 69 of 100 employee records are classified as Active.</a:t>
          </a:r>
          <a:br>
            <a:rPr lang="en-US" sz="1200" baseline="0"/>
          </a:br>
          <a:r>
            <a:rPr lang="en-US" sz="1200" b="1" baseline="0"/>
            <a:t>2. Department Distribution:</a:t>
          </a:r>
          <a:r>
            <a:rPr lang="en-US" sz="1200" baseline="0"/>
            <a:t> Human Resources has the largest recorded headcount of 22, while Sales has the smallest at 14.</a:t>
          </a:r>
          <a:br>
            <a:rPr lang="en-US" sz="1200" baseline="0"/>
          </a:br>
          <a:r>
            <a:rPr lang="en-US" sz="1200" b="1" baseline="0"/>
            <a:t>3. Salary Overview:</a:t>
          </a:r>
          <a:r>
            <a:rPr lang="en-US" sz="1200" baseline="0"/>
            <a:t> The average monthly salary is 340,800 with a recorded range of 180,000 to 500,000</a:t>
          </a:r>
          <a:br>
            <a:rPr lang="en-US" sz="1200" baseline="0"/>
          </a:br>
          <a:r>
            <a:rPr lang="en-US" sz="1200" b="1" baseline="0"/>
            <a:t>4. Data-quality limitation:</a:t>
          </a:r>
          <a:r>
            <a:rPr lang="en-US" sz="1200" baseline="0"/>
            <a:t> One employee's department is missing. Verify the correct department before making staffing or</a:t>
          </a:r>
          <a:br>
            <a:rPr lang="en-US" sz="1200" baseline="0"/>
          </a:br>
          <a:r>
            <a:rPr lang="en-US" sz="1200" baseline="0"/>
            <a:t>departmental comparisons for management decisions.</a:t>
          </a:r>
          <a:endParaRPr lang="en-US" sz="12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4</xdr:row>
      <xdr:rowOff>6350</xdr:rowOff>
    </xdr:from>
    <xdr:to>
      <xdr:col>2</xdr:col>
      <xdr:colOff>222250</xdr:colOff>
      <xdr:row>7</xdr:row>
      <xdr:rowOff>31750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D334128A-129B-FBA9-326A-9591E47A2647}"/>
            </a:ext>
          </a:extLst>
        </xdr:cNvPr>
        <xdr:cNvGrpSpPr/>
      </xdr:nvGrpSpPr>
      <xdr:grpSpPr>
        <a:xfrm>
          <a:off x="50800" y="869950"/>
          <a:ext cx="1390650" cy="577850"/>
          <a:chOff x="50800" y="742950"/>
          <a:chExt cx="1390650" cy="577850"/>
        </a:xfrm>
      </xdr:grpSpPr>
      <xdr:sp macro="" textlink="Attendance_Audit!A2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BD9E95BB-C531-0733-0999-F587A2217C53}"/>
              </a:ext>
            </a:extLst>
          </xdr:cNvPr>
          <xdr:cNvSpPr/>
        </xdr:nvSpPr>
        <xdr:spPr>
          <a:xfrm>
            <a:off x="50800" y="742950"/>
            <a:ext cx="1390650" cy="577850"/>
          </a:xfrm>
          <a:prstGeom prst="roundRect">
            <a:avLst/>
          </a:prstGeom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fld id="{E68F72EB-E004-4F1F-AFC4-12D69EA3B594}" type="TxLink">
              <a:rPr lang="en-US" sz="11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Total Attendance</a:t>
            </a:fld>
            <a:endParaRPr lang="en-US" sz="1100" b="1"/>
          </a:p>
        </xdr:txBody>
      </xdr:sp>
      <xdr:sp macro="" textlink="Attendance_Audit!B2">
        <xdr:nvSpPr>
          <xdr:cNvPr id="4" name="TextBox 3">
            <a:extLst>
              <a:ext uri="{FF2B5EF4-FFF2-40B4-BE49-F238E27FC236}">
                <a16:creationId xmlns:a16="http://schemas.microsoft.com/office/drawing/2014/main" id="{B7774A84-AEF8-2C4A-A00C-3959B5A83486}"/>
              </a:ext>
            </a:extLst>
          </xdr:cNvPr>
          <xdr:cNvSpPr txBox="1"/>
        </xdr:nvSpPr>
        <xdr:spPr>
          <a:xfrm>
            <a:off x="457200" y="971550"/>
            <a:ext cx="647700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fld id="{D3D27471-7EDF-4060-848B-0545805EC40F}" type="TxLink">
              <a:rPr lang="en-US" sz="16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1200</a:t>
            </a:fld>
            <a:endParaRPr lang="en-US" sz="1600" b="1"/>
          </a:p>
        </xdr:txBody>
      </xdr:sp>
    </xdr:grpSp>
    <xdr:clientData/>
  </xdr:twoCellAnchor>
  <xdr:twoCellAnchor>
    <xdr:from>
      <xdr:col>3</xdr:col>
      <xdr:colOff>228600</xdr:colOff>
      <xdr:row>4</xdr:row>
      <xdr:rowOff>6350</xdr:rowOff>
    </xdr:from>
    <xdr:to>
      <xdr:col>5</xdr:col>
      <xdr:colOff>400050</xdr:colOff>
      <xdr:row>7</xdr:row>
      <xdr:rowOff>31750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4363F4FD-E8A0-891B-A191-CF1B9E508A06}"/>
            </a:ext>
          </a:extLst>
        </xdr:cNvPr>
        <xdr:cNvGrpSpPr/>
      </xdr:nvGrpSpPr>
      <xdr:grpSpPr>
        <a:xfrm>
          <a:off x="2057400" y="869950"/>
          <a:ext cx="1390650" cy="577850"/>
          <a:chOff x="2438400" y="736600"/>
          <a:chExt cx="1390650" cy="577850"/>
        </a:xfrm>
      </xdr:grpSpPr>
      <xdr:sp macro="" textlink="Attendance_Audit!A14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D99FB337-F1FF-74DC-7EFC-368051FBF575}"/>
              </a:ext>
            </a:extLst>
          </xdr:cNvPr>
          <xdr:cNvSpPr/>
        </xdr:nvSpPr>
        <xdr:spPr>
          <a:xfrm>
            <a:off x="2438400" y="736600"/>
            <a:ext cx="1390650" cy="577850"/>
          </a:xfrm>
          <a:prstGeom prst="roundRect">
            <a:avLst/>
          </a:prstGeom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fld id="{62E4465A-3CD4-40CE-A626-3CE8CEF0E364}" type="TxLink">
              <a:rPr lang="en-US" sz="11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Present</a:t>
            </a:fld>
            <a:endParaRPr lang="en-US" sz="1100" b="1"/>
          </a:p>
        </xdr:txBody>
      </xdr:sp>
      <xdr:sp macro="" textlink="Attendance_Audit!B14">
        <xdr:nvSpPr>
          <xdr:cNvPr id="7" name="TextBox 6">
            <a:extLst>
              <a:ext uri="{FF2B5EF4-FFF2-40B4-BE49-F238E27FC236}">
                <a16:creationId xmlns:a16="http://schemas.microsoft.com/office/drawing/2014/main" id="{E6F2B03C-73E5-8AB1-7E08-A5768841867B}"/>
              </a:ext>
            </a:extLst>
          </xdr:cNvPr>
          <xdr:cNvSpPr txBox="1"/>
        </xdr:nvSpPr>
        <xdr:spPr>
          <a:xfrm>
            <a:off x="2844800" y="965200"/>
            <a:ext cx="647700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fld id="{DC6BD047-B131-4A92-A9F8-558C3714E081}" type="TxLink">
              <a:rPr lang="en-US" sz="16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587</a:t>
            </a:fld>
            <a:endParaRPr lang="en-US" sz="1600" b="1"/>
          </a:p>
        </xdr:txBody>
      </xdr:sp>
    </xdr:grpSp>
    <xdr:clientData/>
  </xdr:twoCellAnchor>
  <xdr:twoCellAnchor>
    <xdr:from>
      <xdr:col>6</xdr:col>
      <xdr:colOff>323850</xdr:colOff>
      <xdr:row>3</xdr:row>
      <xdr:rowOff>171450</xdr:rowOff>
    </xdr:from>
    <xdr:to>
      <xdr:col>8</xdr:col>
      <xdr:colOff>495300</xdr:colOff>
      <xdr:row>7</xdr:row>
      <xdr:rowOff>12700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E6779808-B704-F5F5-5FDF-4D5C7AFD86B9}"/>
            </a:ext>
          </a:extLst>
        </xdr:cNvPr>
        <xdr:cNvGrpSpPr/>
      </xdr:nvGrpSpPr>
      <xdr:grpSpPr>
        <a:xfrm>
          <a:off x="3981450" y="850900"/>
          <a:ext cx="1390650" cy="577850"/>
          <a:chOff x="4267200" y="736600"/>
          <a:chExt cx="1390650" cy="577850"/>
        </a:xfrm>
      </xdr:grpSpPr>
      <xdr:sp macro="" textlink="Attendance_Audit!A15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A2786761-DD21-3FAA-AD95-8B492F534BE5}"/>
              </a:ext>
            </a:extLst>
          </xdr:cNvPr>
          <xdr:cNvSpPr/>
        </xdr:nvSpPr>
        <xdr:spPr>
          <a:xfrm>
            <a:off x="4267200" y="736600"/>
            <a:ext cx="1390650" cy="577850"/>
          </a:xfrm>
          <a:prstGeom prst="roundRect">
            <a:avLst/>
          </a:prstGeom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fld id="{3277E605-AC39-4ED3-BC06-758A43F910E4}" type="TxLink">
              <a:rPr lang="en-US" sz="11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Absent</a:t>
            </a:fld>
            <a:endParaRPr lang="en-US" sz="1100" b="1"/>
          </a:p>
        </xdr:txBody>
      </xdr:sp>
      <xdr:sp macro="" textlink="Attendance_Audit!B15">
        <xdr:nvSpPr>
          <xdr:cNvPr id="12" name="TextBox 11">
            <a:extLst>
              <a:ext uri="{FF2B5EF4-FFF2-40B4-BE49-F238E27FC236}">
                <a16:creationId xmlns:a16="http://schemas.microsoft.com/office/drawing/2014/main" id="{45FF6B92-A993-5DA6-0DA1-7F1E0C70AC48}"/>
              </a:ext>
            </a:extLst>
          </xdr:cNvPr>
          <xdr:cNvSpPr txBox="1"/>
        </xdr:nvSpPr>
        <xdr:spPr>
          <a:xfrm>
            <a:off x="4673600" y="965200"/>
            <a:ext cx="647700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fld id="{BCA5DEF1-C20F-41FA-89E6-65480DA38762}" type="TxLink">
              <a:rPr lang="en-US" sz="16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204</a:t>
            </a:fld>
            <a:endParaRPr lang="en-US" sz="1600" b="1"/>
          </a:p>
        </xdr:txBody>
      </xdr:sp>
    </xdr:grpSp>
    <xdr:clientData/>
  </xdr:twoCellAnchor>
  <xdr:twoCellAnchor>
    <xdr:from>
      <xdr:col>9</xdr:col>
      <xdr:colOff>406400</xdr:colOff>
      <xdr:row>3</xdr:row>
      <xdr:rowOff>152400</xdr:rowOff>
    </xdr:from>
    <xdr:to>
      <xdr:col>11</xdr:col>
      <xdr:colOff>577850</xdr:colOff>
      <xdr:row>6</xdr:row>
      <xdr:rowOff>177800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45D19378-3DB4-A193-A6B8-36EE590C2654}"/>
            </a:ext>
          </a:extLst>
        </xdr:cNvPr>
        <xdr:cNvGrpSpPr/>
      </xdr:nvGrpSpPr>
      <xdr:grpSpPr>
        <a:xfrm>
          <a:off x="5892800" y="831850"/>
          <a:ext cx="1390650" cy="577850"/>
          <a:chOff x="6096000" y="736600"/>
          <a:chExt cx="1390650" cy="577850"/>
        </a:xfrm>
      </xdr:grpSpPr>
      <xdr:sp macro="" textlink="Attendance_Audit!A16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DE360295-5D20-4497-D57D-15095E5B7A92}"/>
              </a:ext>
            </a:extLst>
          </xdr:cNvPr>
          <xdr:cNvSpPr/>
        </xdr:nvSpPr>
        <xdr:spPr>
          <a:xfrm>
            <a:off x="6096000" y="736600"/>
            <a:ext cx="1390650" cy="577850"/>
          </a:xfrm>
          <a:prstGeom prst="roundRect">
            <a:avLst/>
          </a:prstGeom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fld id="{09A99C34-572A-4D21-A0C2-0B845D0DA3FB}" type="TxLink">
              <a:rPr lang="en-US" sz="11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Late</a:t>
            </a:fld>
            <a:endParaRPr lang="en-US" sz="1100" b="1"/>
          </a:p>
        </xdr:txBody>
      </xdr:sp>
      <xdr:sp macro="" textlink="Attendance_Audit!B16">
        <xdr:nvSpPr>
          <xdr:cNvPr id="15" name="TextBox 14">
            <a:extLst>
              <a:ext uri="{FF2B5EF4-FFF2-40B4-BE49-F238E27FC236}">
                <a16:creationId xmlns:a16="http://schemas.microsoft.com/office/drawing/2014/main" id="{387E170C-CA31-8859-B7C8-CDB3DC8A817A}"/>
              </a:ext>
            </a:extLst>
          </xdr:cNvPr>
          <xdr:cNvSpPr txBox="1"/>
        </xdr:nvSpPr>
        <xdr:spPr>
          <a:xfrm>
            <a:off x="6502400" y="965200"/>
            <a:ext cx="647700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fld id="{22D537F1-4B7A-4878-9469-07850D791A69}" type="TxLink">
              <a:rPr lang="en-US" sz="16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200</a:t>
            </a:fld>
            <a:endParaRPr lang="en-US" sz="1600" b="1"/>
          </a:p>
        </xdr:txBody>
      </xdr:sp>
    </xdr:grpSp>
    <xdr:clientData/>
  </xdr:twoCellAnchor>
  <xdr:twoCellAnchor>
    <xdr:from>
      <xdr:col>12</xdr:col>
      <xdr:colOff>571500</xdr:colOff>
      <xdr:row>3</xdr:row>
      <xdr:rowOff>158750</xdr:rowOff>
    </xdr:from>
    <xdr:to>
      <xdr:col>15</xdr:col>
      <xdr:colOff>133350</xdr:colOff>
      <xdr:row>7</xdr:row>
      <xdr:rowOff>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35A42A0A-AC19-6E40-3C66-6119E83ADF74}"/>
            </a:ext>
          </a:extLst>
        </xdr:cNvPr>
        <xdr:cNvGrpSpPr/>
      </xdr:nvGrpSpPr>
      <xdr:grpSpPr>
        <a:xfrm>
          <a:off x="7886700" y="838200"/>
          <a:ext cx="1390650" cy="577850"/>
          <a:chOff x="7924800" y="736600"/>
          <a:chExt cx="1390650" cy="577850"/>
        </a:xfrm>
      </xdr:grpSpPr>
      <xdr:sp macro="" textlink="Attendance_Audit!A17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B64E6771-B9FC-8496-DA76-528B1E1FA623}"/>
              </a:ext>
            </a:extLst>
          </xdr:cNvPr>
          <xdr:cNvSpPr/>
        </xdr:nvSpPr>
        <xdr:spPr>
          <a:xfrm>
            <a:off x="7924800" y="736600"/>
            <a:ext cx="1390650" cy="577850"/>
          </a:xfrm>
          <a:prstGeom prst="roundRect">
            <a:avLst/>
          </a:prstGeom>
          <a:ln>
            <a:noFill/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fld id="{1C16288E-D81D-420F-8810-D07A92363586}" type="TxLink">
              <a:rPr lang="en-US" sz="11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On Leave</a:t>
            </a:fld>
            <a:endParaRPr lang="en-US" sz="1100" b="1"/>
          </a:p>
        </xdr:txBody>
      </xdr:sp>
      <xdr:sp macro="" textlink="Attendance_Audit!B17">
        <xdr:nvSpPr>
          <xdr:cNvPr id="18" name="TextBox 17">
            <a:extLst>
              <a:ext uri="{FF2B5EF4-FFF2-40B4-BE49-F238E27FC236}">
                <a16:creationId xmlns:a16="http://schemas.microsoft.com/office/drawing/2014/main" id="{2F80A9A2-4A4E-CE0D-BEB0-87BBA9758018}"/>
              </a:ext>
            </a:extLst>
          </xdr:cNvPr>
          <xdr:cNvSpPr txBox="1"/>
        </xdr:nvSpPr>
        <xdr:spPr>
          <a:xfrm>
            <a:off x="8331200" y="965200"/>
            <a:ext cx="647700" cy="3427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fld id="{B6F85FCC-7185-4CAD-B864-FA19B57DF5FD}" type="TxLink">
              <a:rPr lang="en-US" sz="16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209</a:t>
            </a:fld>
            <a:endParaRPr lang="en-US" sz="1600" b="1"/>
          </a:p>
        </xdr:txBody>
      </xdr:sp>
    </xdr:grpSp>
    <xdr:clientData/>
  </xdr:twoCellAnchor>
  <xdr:twoCellAnchor>
    <xdr:from>
      <xdr:col>8</xdr:col>
      <xdr:colOff>546100</xdr:colOff>
      <xdr:row>10</xdr:row>
      <xdr:rowOff>19050</xdr:rowOff>
    </xdr:from>
    <xdr:to>
      <xdr:col>16</xdr:col>
      <xdr:colOff>241300</xdr:colOff>
      <xdr:row>25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6044F70-9B70-4D2B-8320-A581C1A67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10</xdr:row>
      <xdr:rowOff>6350</xdr:rowOff>
    </xdr:from>
    <xdr:to>
      <xdr:col>7</xdr:col>
      <xdr:colOff>558800</xdr:colOff>
      <xdr:row>24</xdr:row>
      <xdr:rowOff>171450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F58BF356-AB8B-41AD-B2B5-B15BB9E7F2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28</xdr:row>
      <xdr:rowOff>0</xdr:rowOff>
    </xdr:from>
    <xdr:ext cx="8308813" cy="1219565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A008B0E-E135-414E-ADC3-708048D9CE67}"/>
            </a:ext>
          </a:extLst>
        </xdr:cNvPr>
        <xdr:cNvSpPr txBox="1"/>
      </xdr:nvSpPr>
      <xdr:spPr>
        <a:xfrm>
          <a:off x="0" y="5283200"/>
          <a:ext cx="8308813" cy="12195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/>
            <a:t>Summary</a:t>
          </a:r>
          <a:br>
            <a:rPr lang="en-US" sz="1200"/>
          </a:br>
          <a:br>
            <a:rPr lang="en-US" sz="1200"/>
          </a:br>
          <a:r>
            <a:rPr lang="en-US" sz="1200" b="1"/>
            <a:t>1. Attendance Status:</a:t>
          </a:r>
          <a:r>
            <a:rPr lang="en-US" sz="1200" baseline="0"/>
            <a:t> 204 of 1200 absences were recorded.</a:t>
          </a:r>
          <a:br>
            <a:rPr lang="en-US" sz="1200" baseline="0"/>
          </a:br>
          <a:r>
            <a:rPr lang="en-US" sz="1200" b="1" baseline="0"/>
            <a:t>2. Department Distribution:</a:t>
          </a:r>
          <a:r>
            <a:rPr lang="en-US" sz="1200" baseline="0"/>
            <a:t> Human Resources has the largest absences at 50, while Operations has the least at 25.</a:t>
          </a:r>
          <a:br>
            <a:rPr lang="en-US" sz="1200" baseline="0"/>
          </a:br>
          <a:r>
            <a:rPr lang="en-US" sz="1200" b="1" baseline="0"/>
            <a:t>3. Data-quality limitation:</a:t>
          </a:r>
          <a:r>
            <a:rPr lang="en-US" sz="1200" baseline="0"/>
            <a:t> 12 Unassigned department were recorded. Verify the correct department before making staffing or</a:t>
          </a:r>
          <a:br>
            <a:rPr lang="en-US" sz="1200" baseline="0"/>
          </a:br>
          <a:r>
            <a:rPr lang="en-US" sz="1200" baseline="0"/>
            <a:t>departmental comparisons for management decisions.</a:t>
          </a:r>
          <a:endParaRPr lang="en-US" sz="12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workbookViewId="0">
      <pane ySplit="1" topLeftCell="A2" activePane="bottomLeft" state="frozen"/>
      <selection pane="bottomLeft" activeCell="A2" sqref="A2:A102"/>
    </sheetView>
  </sheetViews>
  <sheetFormatPr defaultRowHeight="14.5" x14ac:dyDescent="0.35"/>
  <cols>
    <col min="1" max="1" width="12" customWidth="1"/>
    <col min="2" max="3" width="18" customWidth="1"/>
    <col min="4" max="4" width="29" customWidth="1"/>
    <col min="5" max="5" width="21" customWidth="1"/>
    <col min="6" max="6" width="18" customWidth="1"/>
    <col min="7" max="7" width="12" customWidth="1"/>
    <col min="8" max="8" width="18" customWidth="1"/>
    <col min="9" max="9" width="12" customWidth="1"/>
  </cols>
  <sheetData>
    <row r="1" spans="1: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3">
        <v>45057</v>
      </c>
      <c r="F2" s="2" t="s">
        <v>13</v>
      </c>
      <c r="G2" s="2" t="s">
        <v>14</v>
      </c>
      <c r="H2" s="2">
        <v>350000</v>
      </c>
      <c r="I2" s="2"/>
    </row>
    <row r="3" spans="1:9" x14ac:dyDescent="0.35">
      <c r="A3" s="2" t="s">
        <v>15</v>
      </c>
      <c r="B3" s="2" t="s">
        <v>16</v>
      </c>
      <c r="C3" s="2" t="s">
        <v>17</v>
      </c>
      <c r="D3" s="2" t="s">
        <v>18</v>
      </c>
      <c r="E3" s="3">
        <v>44663</v>
      </c>
      <c r="F3" s="2" t="s">
        <v>13</v>
      </c>
      <c r="G3" s="2" t="s">
        <v>19</v>
      </c>
      <c r="H3" s="2">
        <v>500000</v>
      </c>
      <c r="I3" s="2" t="s">
        <v>9</v>
      </c>
    </row>
    <row r="4" spans="1:9" x14ac:dyDescent="0.35">
      <c r="A4" s="2" t="s">
        <v>20</v>
      </c>
      <c r="B4" s="2" t="s">
        <v>21</v>
      </c>
      <c r="C4" s="2" t="s">
        <v>22</v>
      </c>
      <c r="D4" s="2" t="s">
        <v>23</v>
      </c>
      <c r="E4" s="3">
        <v>45320</v>
      </c>
      <c r="F4" s="2" t="s">
        <v>24</v>
      </c>
      <c r="G4" s="2" t="s">
        <v>14</v>
      </c>
      <c r="H4" s="2">
        <v>220000</v>
      </c>
      <c r="I4" s="2" t="s">
        <v>15</v>
      </c>
    </row>
    <row r="5" spans="1:9" x14ac:dyDescent="0.35">
      <c r="A5" s="2" t="s">
        <v>25</v>
      </c>
      <c r="B5" s="2" t="s">
        <v>26</v>
      </c>
      <c r="C5" s="2" t="s">
        <v>11</v>
      </c>
      <c r="D5" s="2" t="s">
        <v>27</v>
      </c>
      <c r="E5" s="3">
        <v>45634</v>
      </c>
      <c r="F5" s="2" t="s">
        <v>13</v>
      </c>
      <c r="G5" s="2" t="s">
        <v>14</v>
      </c>
      <c r="H5" s="2">
        <v>180000</v>
      </c>
      <c r="I5" s="2" t="s">
        <v>20</v>
      </c>
    </row>
    <row r="6" spans="1:9" x14ac:dyDescent="0.35">
      <c r="A6" s="2" t="s">
        <v>28</v>
      </c>
      <c r="B6" s="2" t="s">
        <v>29</v>
      </c>
      <c r="C6" s="2" t="s">
        <v>11</v>
      </c>
      <c r="D6" s="2" t="s">
        <v>27</v>
      </c>
      <c r="E6" s="3">
        <v>45534</v>
      </c>
      <c r="F6" s="2" t="s">
        <v>30</v>
      </c>
      <c r="G6" s="2" t="s">
        <v>14</v>
      </c>
      <c r="H6" s="2">
        <v>180000</v>
      </c>
      <c r="I6" s="2" t="s">
        <v>25</v>
      </c>
    </row>
    <row r="7" spans="1:9" x14ac:dyDescent="0.35">
      <c r="A7" s="2" t="s">
        <v>31</v>
      </c>
      <c r="B7" s="2" t="s">
        <v>32</v>
      </c>
      <c r="C7" s="2" t="s">
        <v>33</v>
      </c>
      <c r="D7" s="2" t="s">
        <v>34</v>
      </c>
      <c r="E7" s="3">
        <v>45279</v>
      </c>
      <c r="F7" s="2" t="s">
        <v>13</v>
      </c>
      <c r="G7" s="2" t="s">
        <v>19</v>
      </c>
      <c r="H7" s="2">
        <v>400000</v>
      </c>
      <c r="I7" s="2" t="s">
        <v>28</v>
      </c>
    </row>
    <row r="8" spans="1:9" x14ac:dyDescent="0.35">
      <c r="A8" s="2" t="s">
        <v>35</v>
      </c>
      <c r="B8" s="2" t="s">
        <v>36</v>
      </c>
      <c r="C8" s="2" t="s">
        <v>37</v>
      </c>
      <c r="D8" s="2" t="s">
        <v>38</v>
      </c>
      <c r="E8" s="3">
        <v>44883</v>
      </c>
      <c r="F8" s="2" t="s">
        <v>13</v>
      </c>
      <c r="G8" s="2" t="s">
        <v>19</v>
      </c>
      <c r="H8" s="2">
        <v>300000</v>
      </c>
      <c r="I8" s="2" t="s">
        <v>31</v>
      </c>
    </row>
    <row r="9" spans="1:9" x14ac:dyDescent="0.35">
      <c r="A9" s="2" t="s">
        <v>39</v>
      </c>
      <c r="B9" s="2" t="s">
        <v>40</v>
      </c>
      <c r="C9" s="2" t="s">
        <v>41</v>
      </c>
      <c r="D9" s="2" t="s">
        <v>42</v>
      </c>
      <c r="E9" s="3">
        <v>45351</v>
      </c>
      <c r="F9" s="2" t="s">
        <v>13</v>
      </c>
      <c r="G9" s="2" t="s">
        <v>19</v>
      </c>
      <c r="H9" s="2">
        <v>350000</v>
      </c>
      <c r="I9" s="2" t="s">
        <v>35</v>
      </c>
    </row>
    <row r="10" spans="1:9" x14ac:dyDescent="0.35">
      <c r="A10" s="2" t="s">
        <v>43</v>
      </c>
      <c r="B10" s="2" t="s">
        <v>44</v>
      </c>
      <c r="C10" s="2"/>
      <c r="D10" s="2" t="s">
        <v>45</v>
      </c>
      <c r="E10" s="3">
        <v>44363</v>
      </c>
      <c r="F10" s="2" t="s">
        <v>13</v>
      </c>
      <c r="G10" s="2" t="s">
        <v>14</v>
      </c>
      <c r="H10" s="2">
        <v>300000</v>
      </c>
      <c r="I10" s="2" t="s">
        <v>39</v>
      </c>
    </row>
    <row r="11" spans="1:9" x14ac:dyDescent="0.35">
      <c r="A11" s="2" t="s">
        <v>46</v>
      </c>
      <c r="B11" s="2" t="s">
        <v>47</v>
      </c>
      <c r="C11" s="2" t="s">
        <v>37</v>
      </c>
      <c r="D11" s="2" t="s">
        <v>38</v>
      </c>
      <c r="E11" s="3">
        <v>44438</v>
      </c>
      <c r="F11" s="2" t="s">
        <v>13</v>
      </c>
      <c r="G11" s="2" t="s">
        <v>48</v>
      </c>
      <c r="H11" s="2">
        <v>350000</v>
      </c>
      <c r="I11" s="2" t="s">
        <v>43</v>
      </c>
    </row>
    <row r="12" spans="1:9" x14ac:dyDescent="0.35">
      <c r="A12" s="2" t="s">
        <v>49</v>
      </c>
      <c r="B12" s="2" t="s">
        <v>50</v>
      </c>
      <c r="C12" s="2" t="s">
        <v>17</v>
      </c>
      <c r="D12" s="2" t="s">
        <v>18</v>
      </c>
      <c r="E12" s="3">
        <v>45560</v>
      </c>
      <c r="F12" s="2" t="s">
        <v>13</v>
      </c>
      <c r="G12" s="2" t="s">
        <v>19</v>
      </c>
      <c r="H12" s="2">
        <v>300000</v>
      </c>
      <c r="I12" s="2" t="s">
        <v>46</v>
      </c>
    </row>
    <row r="13" spans="1:9" x14ac:dyDescent="0.35">
      <c r="A13" s="2" t="s">
        <v>51</v>
      </c>
      <c r="B13" s="2" t="s">
        <v>52</v>
      </c>
      <c r="C13" s="2" t="s">
        <v>22</v>
      </c>
      <c r="D13" s="2" t="s">
        <v>23</v>
      </c>
      <c r="E13" s="3">
        <v>44972</v>
      </c>
      <c r="F13" s="2" t="s">
        <v>13</v>
      </c>
      <c r="G13" s="2" t="s">
        <v>48</v>
      </c>
      <c r="H13" s="2">
        <v>180000</v>
      </c>
      <c r="I13" s="2" t="s">
        <v>49</v>
      </c>
    </row>
    <row r="14" spans="1:9" x14ac:dyDescent="0.35">
      <c r="A14" s="2" t="s">
        <v>53</v>
      </c>
      <c r="B14" s="2" t="s">
        <v>54</v>
      </c>
      <c r="C14" s="2" t="s">
        <v>11</v>
      </c>
      <c r="D14" s="2" t="s">
        <v>27</v>
      </c>
      <c r="E14" s="3">
        <v>45782</v>
      </c>
      <c r="F14" s="2" t="s">
        <v>24</v>
      </c>
      <c r="G14" s="2" t="s">
        <v>48</v>
      </c>
      <c r="H14" s="2">
        <v>400000</v>
      </c>
      <c r="I14" s="2" t="s">
        <v>51</v>
      </c>
    </row>
    <row r="15" spans="1:9" x14ac:dyDescent="0.35">
      <c r="A15" s="2" t="s">
        <v>55</v>
      </c>
      <c r="B15" s="2" t="s">
        <v>56</v>
      </c>
      <c r="C15" s="2" t="s">
        <v>17</v>
      </c>
      <c r="D15" s="2" t="s">
        <v>57</v>
      </c>
      <c r="E15" s="3">
        <v>45992</v>
      </c>
      <c r="F15" s="2" t="s">
        <v>30</v>
      </c>
      <c r="G15" s="2" t="s">
        <v>19</v>
      </c>
      <c r="H15" s="2">
        <v>220000</v>
      </c>
      <c r="I15" s="2" t="s">
        <v>53</v>
      </c>
    </row>
    <row r="16" spans="1:9" x14ac:dyDescent="0.35">
      <c r="A16" s="2" t="s">
        <v>58</v>
      </c>
      <c r="B16" s="2" t="s">
        <v>59</v>
      </c>
      <c r="C16" s="2" t="s">
        <v>17</v>
      </c>
      <c r="D16" s="2" t="s">
        <v>57</v>
      </c>
      <c r="E16" s="3">
        <v>45776</v>
      </c>
      <c r="F16" s="2" t="s">
        <v>13</v>
      </c>
      <c r="G16" s="2" t="s">
        <v>48</v>
      </c>
      <c r="H16" s="2">
        <v>300000</v>
      </c>
      <c r="I16" s="2" t="s">
        <v>55</v>
      </c>
    </row>
    <row r="17" spans="1:9" x14ac:dyDescent="0.35">
      <c r="A17" s="2" t="s">
        <v>60</v>
      </c>
      <c r="B17" s="2" t="s">
        <v>61</v>
      </c>
      <c r="C17" s="2" t="s">
        <v>37</v>
      </c>
      <c r="D17" s="2" t="s">
        <v>62</v>
      </c>
      <c r="E17" s="3">
        <v>46083</v>
      </c>
      <c r="F17" s="2" t="s">
        <v>24</v>
      </c>
      <c r="G17" s="2" t="s">
        <v>19</v>
      </c>
      <c r="H17" s="2">
        <v>300000</v>
      </c>
      <c r="I17" s="2" t="s">
        <v>58</v>
      </c>
    </row>
    <row r="18" spans="1:9" x14ac:dyDescent="0.35">
      <c r="A18" s="2" t="s">
        <v>63</v>
      </c>
      <c r="B18" s="2" t="s">
        <v>64</v>
      </c>
      <c r="C18" s="2" t="s">
        <v>41</v>
      </c>
      <c r="D18" s="2" t="s">
        <v>42</v>
      </c>
      <c r="E18" s="3">
        <v>45922</v>
      </c>
      <c r="F18" s="2" t="s">
        <v>30</v>
      </c>
      <c r="G18" s="2" t="s">
        <v>48</v>
      </c>
      <c r="H18" s="2">
        <v>450000</v>
      </c>
      <c r="I18" s="2" t="s">
        <v>60</v>
      </c>
    </row>
    <row r="19" spans="1:9" x14ac:dyDescent="0.35">
      <c r="A19" s="2" t="s">
        <v>65</v>
      </c>
      <c r="B19" s="2" t="s">
        <v>66</v>
      </c>
      <c r="C19" s="2" t="s">
        <v>22</v>
      </c>
      <c r="D19" s="2" t="s">
        <v>67</v>
      </c>
      <c r="E19" s="3">
        <v>44988</v>
      </c>
      <c r="F19" s="2" t="s">
        <v>68</v>
      </c>
      <c r="G19" s="2" t="s">
        <v>14</v>
      </c>
      <c r="H19" s="2">
        <v>180000</v>
      </c>
      <c r="I19" s="2" t="s">
        <v>63</v>
      </c>
    </row>
    <row r="20" spans="1:9" x14ac:dyDescent="0.35">
      <c r="A20" s="2" t="s">
        <v>69</v>
      </c>
      <c r="B20" s="2" t="s">
        <v>70</v>
      </c>
      <c r="C20" s="2" t="s">
        <v>22</v>
      </c>
      <c r="D20" s="2" t="s">
        <v>71</v>
      </c>
      <c r="E20" s="3">
        <v>44211</v>
      </c>
      <c r="F20" s="2" t="s">
        <v>13</v>
      </c>
      <c r="G20" s="2" t="s">
        <v>14</v>
      </c>
      <c r="H20" s="2">
        <v>450000</v>
      </c>
      <c r="I20" s="2" t="s">
        <v>65</v>
      </c>
    </row>
    <row r="21" spans="1:9" x14ac:dyDescent="0.35">
      <c r="A21" s="2" t="s">
        <v>72</v>
      </c>
      <c r="B21" s="2" t="s">
        <v>73</v>
      </c>
      <c r="C21" s="2" t="s">
        <v>41</v>
      </c>
      <c r="D21" s="2" t="s">
        <v>42</v>
      </c>
      <c r="E21" s="3">
        <v>45564</v>
      </c>
      <c r="F21" s="2" t="s">
        <v>13</v>
      </c>
      <c r="G21" s="2" t="s">
        <v>19</v>
      </c>
      <c r="H21" s="2">
        <v>250000</v>
      </c>
      <c r="I21" s="2" t="s">
        <v>69</v>
      </c>
    </row>
    <row r="22" spans="1:9" x14ac:dyDescent="0.35">
      <c r="A22" s="2" t="s">
        <v>74</v>
      </c>
      <c r="B22" s="2" t="s">
        <v>75</v>
      </c>
      <c r="C22" s="2" t="s">
        <v>33</v>
      </c>
      <c r="D22" s="2" t="s">
        <v>34</v>
      </c>
      <c r="E22" s="3">
        <v>44789</v>
      </c>
      <c r="F22" s="2" t="s">
        <v>13</v>
      </c>
      <c r="G22" s="2" t="s">
        <v>14</v>
      </c>
      <c r="H22" s="2">
        <v>250000</v>
      </c>
      <c r="I22" s="2" t="s">
        <v>72</v>
      </c>
    </row>
    <row r="23" spans="1:9" x14ac:dyDescent="0.35">
      <c r="A23" s="2" t="s">
        <v>76</v>
      </c>
      <c r="B23" s="2" t="s">
        <v>77</v>
      </c>
      <c r="C23" s="2" t="s">
        <v>22</v>
      </c>
      <c r="D23" s="2" t="s">
        <v>23</v>
      </c>
      <c r="E23" s="3">
        <v>45710</v>
      </c>
      <c r="F23" s="2" t="s">
        <v>13</v>
      </c>
      <c r="G23" s="2" t="s">
        <v>14</v>
      </c>
      <c r="H23" s="2">
        <v>300000</v>
      </c>
      <c r="I23" s="2" t="s">
        <v>74</v>
      </c>
    </row>
    <row r="24" spans="1:9" x14ac:dyDescent="0.35">
      <c r="A24" s="2" t="s">
        <v>78</v>
      </c>
      <c r="B24" s="2" t="s">
        <v>79</v>
      </c>
      <c r="C24" s="2" t="s">
        <v>41</v>
      </c>
      <c r="D24" s="2" t="s">
        <v>45</v>
      </c>
      <c r="E24" s="3">
        <v>46060</v>
      </c>
      <c r="F24" s="2" t="s">
        <v>13</v>
      </c>
      <c r="G24" s="2" t="s">
        <v>19</v>
      </c>
      <c r="H24" s="2">
        <v>450000</v>
      </c>
      <c r="I24" s="2" t="s">
        <v>76</v>
      </c>
    </row>
    <row r="25" spans="1:9" x14ac:dyDescent="0.35">
      <c r="A25" s="2" t="s">
        <v>80</v>
      </c>
      <c r="B25" s="2" t="s">
        <v>81</v>
      </c>
      <c r="C25" s="2" t="s">
        <v>37</v>
      </c>
      <c r="D25" s="2" t="s">
        <v>82</v>
      </c>
      <c r="E25" s="3">
        <v>45948</v>
      </c>
      <c r="F25" s="2" t="s">
        <v>13</v>
      </c>
      <c r="G25" s="2" t="s">
        <v>48</v>
      </c>
      <c r="H25" s="2">
        <v>250000</v>
      </c>
      <c r="I25" s="2" t="s">
        <v>78</v>
      </c>
    </row>
    <row r="26" spans="1:9" x14ac:dyDescent="0.35">
      <c r="A26" s="2" t="s">
        <v>83</v>
      </c>
      <c r="B26" s="2" t="s">
        <v>84</v>
      </c>
      <c r="C26" s="2" t="s">
        <v>33</v>
      </c>
      <c r="D26" s="2" t="s">
        <v>34</v>
      </c>
      <c r="E26" s="3">
        <v>45157</v>
      </c>
      <c r="F26" s="2" t="s">
        <v>30</v>
      </c>
      <c r="G26" s="2" t="s">
        <v>19</v>
      </c>
      <c r="H26" s="2">
        <v>400000</v>
      </c>
      <c r="I26" s="2" t="s">
        <v>80</v>
      </c>
    </row>
    <row r="27" spans="1:9" x14ac:dyDescent="0.35">
      <c r="A27" s="2" t="s">
        <v>85</v>
      </c>
      <c r="B27" s="2" t="s">
        <v>86</v>
      </c>
      <c r="C27" s="2" t="s">
        <v>33</v>
      </c>
      <c r="D27" s="2" t="s">
        <v>87</v>
      </c>
      <c r="E27" s="3">
        <v>45989</v>
      </c>
      <c r="F27" s="2" t="s">
        <v>13</v>
      </c>
      <c r="G27" s="2" t="s">
        <v>19</v>
      </c>
      <c r="H27" s="2">
        <v>450000</v>
      </c>
      <c r="I27" s="2" t="s">
        <v>83</v>
      </c>
    </row>
    <row r="28" spans="1:9" x14ac:dyDescent="0.35">
      <c r="A28" s="2" t="s">
        <v>88</v>
      </c>
      <c r="B28" s="2" t="s">
        <v>89</v>
      </c>
      <c r="C28" s="2" t="s">
        <v>37</v>
      </c>
      <c r="D28" s="2" t="s">
        <v>62</v>
      </c>
      <c r="E28" s="3">
        <v>45067</v>
      </c>
      <c r="F28" s="2" t="s">
        <v>90</v>
      </c>
      <c r="G28" s="2" t="s">
        <v>19</v>
      </c>
      <c r="H28" s="2">
        <v>450000</v>
      </c>
      <c r="I28" s="2" t="s">
        <v>85</v>
      </c>
    </row>
    <row r="29" spans="1:9" x14ac:dyDescent="0.35">
      <c r="A29" s="2" t="s">
        <v>91</v>
      </c>
      <c r="B29" s="2" t="s">
        <v>92</v>
      </c>
      <c r="C29" s="2" t="s">
        <v>17</v>
      </c>
      <c r="D29" s="2" t="s">
        <v>93</v>
      </c>
      <c r="E29" s="3">
        <v>45774</v>
      </c>
      <c r="F29" s="2" t="s">
        <v>13</v>
      </c>
      <c r="G29" s="2" t="s">
        <v>19</v>
      </c>
      <c r="H29" s="2">
        <v>500000</v>
      </c>
      <c r="I29" s="2" t="s">
        <v>88</v>
      </c>
    </row>
    <row r="30" spans="1:9" x14ac:dyDescent="0.35">
      <c r="A30" s="2" t="s">
        <v>94</v>
      </c>
      <c r="B30" s="2" t="s">
        <v>95</v>
      </c>
      <c r="C30" s="2" t="s">
        <v>41</v>
      </c>
      <c r="D30" s="2" t="s">
        <v>42</v>
      </c>
      <c r="E30" s="3">
        <v>44760</v>
      </c>
      <c r="F30" s="2" t="s">
        <v>13</v>
      </c>
      <c r="G30" s="2" t="s">
        <v>48</v>
      </c>
      <c r="H30" s="2">
        <v>350000</v>
      </c>
      <c r="I30" s="2" t="s">
        <v>91</v>
      </c>
    </row>
    <row r="31" spans="1:9" x14ac:dyDescent="0.35">
      <c r="A31" s="2" t="s">
        <v>96</v>
      </c>
      <c r="B31" s="2" t="s">
        <v>97</v>
      </c>
      <c r="C31" s="2" t="s">
        <v>22</v>
      </c>
      <c r="D31" s="2" t="s">
        <v>23</v>
      </c>
      <c r="E31" s="3">
        <v>45875</v>
      </c>
      <c r="F31" s="2" t="s">
        <v>30</v>
      </c>
      <c r="G31" s="2" t="s">
        <v>14</v>
      </c>
      <c r="H31" s="2">
        <v>500000</v>
      </c>
      <c r="I31" s="2" t="s">
        <v>94</v>
      </c>
    </row>
    <row r="32" spans="1:9" x14ac:dyDescent="0.35">
      <c r="A32" s="2" t="s">
        <v>98</v>
      </c>
      <c r="B32" s="2" t="s">
        <v>99</v>
      </c>
      <c r="C32" s="2" t="s">
        <v>33</v>
      </c>
      <c r="D32" s="2" t="s">
        <v>100</v>
      </c>
      <c r="E32" s="3">
        <v>45463</v>
      </c>
      <c r="F32" s="2" t="s">
        <v>13</v>
      </c>
      <c r="G32" s="2" t="s">
        <v>48</v>
      </c>
      <c r="H32" s="2">
        <v>220000</v>
      </c>
      <c r="I32" s="2" t="s">
        <v>96</v>
      </c>
    </row>
    <row r="33" spans="1:9" x14ac:dyDescent="0.35">
      <c r="A33" s="2" t="s">
        <v>101</v>
      </c>
      <c r="B33" s="2" t="s">
        <v>102</v>
      </c>
      <c r="C33" s="2" t="s">
        <v>22</v>
      </c>
      <c r="D33" s="2" t="s">
        <v>71</v>
      </c>
      <c r="E33" s="3">
        <v>45794</v>
      </c>
      <c r="F33" s="2" t="s">
        <v>30</v>
      </c>
      <c r="G33" s="2" t="s">
        <v>48</v>
      </c>
      <c r="H33" s="2">
        <v>300000</v>
      </c>
      <c r="I33" s="2" t="s">
        <v>98</v>
      </c>
    </row>
    <row r="34" spans="1:9" x14ac:dyDescent="0.35">
      <c r="A34" s="2" t="s">
        <v>103</v>
      </c>
      <c r="B34" s="2" t="s">
        <v>104</v>
      </c>
      <c r="C34" s="2" t="s">
        <v>11</v>
      </c>
      <c r="D34" s="2" t="s">
        <v>27</v>
      </c>
      <c r="E34" s="3">
        <v>45840</v>
      </c>
      <c r="F34" s="2" t="s">
        <v>24</v>
      </c>
      <c r="G34" s="2" t="s">
        <v>19</v>
      </c>
      <c r="H34" s="2">
        <v>500000</v>
      </c>
      <c r="I34" s="2" t="s">
        <v>101</v>
      </c>
    </row>
    <row r="35" spans="1:9" x14ac:dyDescent="0.35">
      <c r="A35" s="2" t="s">
        <v>105</v>
      </c>
      <c r="B35" s="2" t="s">
        <v>106</v>
      </c>
      <c r="C35" s="2" t="s">
        <v>17</v>
      </c>
      <c r="D35" s="2" t="s">
        <v>93</v>
      </c>
      <c r="E35" s="3">
        <v>45568</v>
      </c>
      <c r="F35" s="2" t="s">
        <v>24</v>
      </c>
      <c r="G35" s="2" t="s">
        <v>14</v>
      </c>
      <c r="H35" s="2">
        <v>180000</v>
      </c>
      <c r="I35" s="2" t="s">
        <v>103</v>
      </c>
    </row>
    <row r="36" spans="1:9" x14ac:dyDescent="0.35">
      <c r="A36" s="2" t="s">
        <v>107</v>
      </c>
      <c r="B36" s="2" t="s">
        <v>108</v>
      </c>
      <c r="C36" s="2" t="s">
        <v>41</v>
      </c>
      <c r="D36" s="2" t="s">
        <v>45</v>
      </c>
      <c r="E36" s="3">
        <v>45503</v>
      </c>
      <c r="F36" s="2" t="s">
        <v>13</v>
      </c>
      <c r="G36" s="2" t="s">
        <v>14</v>
      </c>
      <c r="H36" s="2">
        <v>180000</v>
      </c>
      <c r="I36" s="2" t="s">
        <v>105</v>
      </c>
    </row>
    <row r="37" spans="1:9" x14ac:dyDescent="0.35">
      <c r="A37" s="2" t="s">
        <v>109</v>
      </c>
      <c r="B37" s="2" t="s">
        <v>110</v>
      </c>
      <c r="C37" s="2" t="s">
        <v>33</v>
      </c>
      <c r="D37" s="2" t="s">
        <v>100</v>
      </c>
      <c r="E37" s="3">
        <v>45579</v>
      </c>
      <c r="F37" s="2" t="s">
        <v>13</v>
      </c>
      <c r="G37" s="2" t="s">
        <v>14</v>
      </c>
      <c r="H37" s="2">
        <v>400000</v>
      </c>
      <c r="I37" s="2" t="s">
        <v>107</v>
      </c>
    </row>
    <row r="38" spans="1:9" x14ac:dyDescent="0.35">
      <c r="A38" s="2" t="s">
        <v>111</v>
      </c>
      <c r="B38" s="2" t="s">
        <v>112</v>
      </c>
      <c r="C38" s="2" t="s">
        <v>22</v>
      </c>
      <c r="D38" s="2" t="s">
        <v>23</v>
      </c>
      <c r="E38" s="3">
        <v>45445</v>
      </c>
      <c r="F38" s="2" t="s">
        <v>13</v>
      </c>
      <c r="G38" s="2" t="s">
        <v>19</v>
      </c>
      <c r="H38" s="2">
        <v>250000</v>
      </c>
      <c r="I38" s="2" t="s">
        <v>109</v>
      </c>
    </row>
    <row r="39" spans="1:9" x14ac:dyDescent="0.35">
      <c r="A39" s="2" t="s">
        <v>113</v>
      </c>
      <c r="B39" s="2" t="s">
        <v>114</v>
      </c>
      <c r="C39" s="2" t="s">
        <v>37</v>
      </c>
      <c r="D39" s="2" t="s">
        <v>82</v>
      </c>
      <c r="E39" s="3">
        <v>45892</v>
      </c>
      <c r="F39" s="2" t="s">
        <v>13</v>
      </c>
      <c r="G39" s="2" t="s">
        <v>14</v>
      </c>
      <c r="H39" s="2">
        <v>400000</v>
      </c>
      <c r="I39" s="2" t="s">
        <v>111</v>
      </c>
    </row>
    <row r="40" spans="1:9" x14ac:dyDescent="0.35">
      <c r="A40" s="2" t="s">
        <v>115</v>
      </c>
      <c r="B40" s="2" t="s">
        <v>116</v>
      </c>
      <c r="C40" s="2" t="s">
        <v>41</v>
      </c>
      <c r="D40" s="2" t="s">
        <v>45</v>
      </c>
      <c r="E40" s="3">
        <v>44638</v>
      </c>
      <c r="F40" s="2" t="s">
        <v>13</v>
      </c>
      <c r="G40" s="2" t="s">
        <v>19</v>
      </c>
      <c r="H40" s="2">
        <v>180000</v>
      </c>
      <c r="I40" s="2" t="s">
        <v>113</v>
      </c>
    </row>
    <row r="41" spans="1:9" x14ac:dyDescent="0.35">
      <c r="A41" s="2" t="s">
        <v>117</v>
      </c>
      <c r="B41" s="2" t="s">
        <v>118</v>
      </c>
      <c r="C41" s="2" t="s">
        <v>22</v>
      </c>
      <c r="D41" s="2" t="s">
        <v>71</v>
      </c>
      <c r="E41" s="3">
        <v>45845</v>
      </c>
      <c r="F41" s="2" t="s">
        <v>13</v>
      </c>
      <c r="G41" s="2" t="s">
        <v>14</v>
      </c>
      <c r="H41" s="2">
        <v>220000</v>
      </c>
      <c r="I41" s="2" t="s">
        <v>115</v>
      </c>
    </row>
    <row r="42" spans="1:9" x14ac:dyDescent="0.35">
      <c r="A42" s="2" t="s">
        <v>119</v>
      </c>
      <c r="B42" s="2" t="s">
        <v>120</v>
      </c>
      <c r="C42" s="2" t="s">
        <v>17</v>
      </c>
      <c r="D42" s="2" t="s">
        <v>57</v>
      </c>
      <c r="E42" s="3">
        <v>44416</v>
      </c>
      <c r="F42" s="2" t="s">
        <v>30</v>
      </c>
      <c r="G42" s="2" t="s">
        <v>14</v>
      </c>
      <c r="H42" s="2">
        <v>180000</v>
      </c>
      <c r="I42" s="2" t="s">
        <v>117</v>
      </c>
    </row>
    <row r="43" spans="1:9" x14ac:dyDescent="0.35">
      <c r="A43" s="2" t="s">
        <v>121</v>
      </c>
      <c r="B43" s="2" t="s">
        <v>122</v>
      </c>
      <c r="C43" s="2" t="s">
        <v>123</v>
      </c>
      <c r="D43" s="2" t="s">
        <v>100</v>
      </c>
      <c r="E43" s="3">
        <v>45858</v>
      </c>
      <c r="F43" s="2" t="s">
        <v>30</v>
      </c>
      <c r="G43" s="2" t="s">
        <v>48</v>
      </c>
      <c r="H43" s="2">
        <v>500000</v>
      </c>
      <c r="I43" s="2" t="s">
        <v>119</v>
      </c>
    </row>
    <row r="44" spans="1:9" x14ac:dyDescent="0.35">
      <c r="A44" s="2" t="s">
        <v>124</v>
      </c>
      <c r="B44" s="2" t="s">
        <v>125</v>
      </c>
      <c r="C44" s="2" t="s">
        <v>37</v>
      </c>
      <c r="D44" s="2" t="s">
        <v>62</v>
      </c>
      <c r="E44" s="3">
        <v>45636</v>
      </c>
      <c r="F44" s="2" t="s">
        <v>13</v>
      </c>
      <c r="G44" s="2" t="s">
        <v>19</v>
      </c>
      <c r="H44" s="2">
        <v>250000</v>
      </c>
      <c r="I44" s="2" t="s">
        <v>121</v>
      </c>
    </row>
    <row r="45" spans="1:9" x14ac:dyDescent="0.35">
      <c r="A45" s="2" t="s">
        <v>126</v>
      </c>
      <c r="B45" s="2" t="s">
        <v>127</v>
      </c>
      <c r="C45" s="2" t="s">
        <v>33</v>
      </c>
      <c r="D45" s="2" t="s">
        <v>34</v>
      </c>
      <c r="E45" s="3">
        <v>44597</v>
      </c>
      <c r="F45" s="2" t="s">
        <v>24</v>
      </c>
      <c r="G45" s="2" t="s">
        <v>14</v>
      </c>
      <c r="H45" s="2">
        <v>300000</v>
      </c>
      <c r="I45" s="2" t="s">
        <v>124</v>
      </c>
    </row>
    <row r="46" spans="1:9" x14ac:dyDescent="0.35">
      <c r="A46" s="2" t="s">
        <v>128</v>
      </c>
      <c r="B46" s="2" t="s">
        <v>129</v>
      </c>
      <c r="C46" s="2" t="s">
        <v>17</v>
      </c>
      <c r="D46" s="2" t="s">
        <v>57</v>
      </c>
      <c r="E46" s="3">
        <v>44394</v>
      </c>
      <c r="F46" s="2" t="s">
        <v>13</v>
      </c>
      <c r="G46" s="2" t="s">
        <v>19</v>
      </c>
      <c r="H46" s="2">
        <v>500000</v>
      </c>
      <c r="I46" s="2" t="s">
        <v>126</v>
      </c>
    </row>
    <row r="47" spans="1:9" x14ac:dyDescent="0.35">
      <c r="A47" s="2" t="s">
        <v>130</v>
      </c>
      <c r="B47" s="2" t="s">
        <v>131</v>
      </c>
      <c r="C47" s="2" t="s">
        <v>41</v>
      </c>
      <c r="D47" s="2" t="s">
        <v>132</v>
      </c>
      <c r="E47" s="3">
        <v>45421</v>
      </c>
      <c r="F47" s="2" t="s">
        <v>24</v>
      </c>
      <c r="G47" s="2" t="s">
        <v>14</v>
      </c>
      <c r="H47" s="2">
        <v>250000</v>
      </c>
      <c r="I47" s="2" t="s">
        <v>128</v>
      </c>
    </row>
    <row r="48" spans="1:9" x14ac:dyDescent="0.35">
      <c r="A48" s="2" t="s">
        <v>133</v>
      </c>
      <c r="B48" s="2" t="s">
        <v>134</v>
      </c>
      <c r="C48" s="2" t="s">
        <v>11</v>
      </c>
      <c r="D48" s="2" t="s">
        <v>12</v>
      </c>
      <c r="E48" s="3">
        <v>44960</v>
      </c>
      <c r="F48" s="2" t="s">
        <v>13</v>
      </c>
      <c r="G48" s="2" t="s">
        <v>19</v>
      </c>
      <c r="H48" s="2">
        <v>220000</v>
      </c>
      <c r="I48" s="2" t="s">
        <v>130</v>
      </c>
    </row>
    <row r="49" spans="1:9" x14ac:dyDescent="0.35">
      <c r="A49" s="2" t="s">
        <v>135</v>
      </c>
      <c r="B49" s="2" t="s">
        <v>136</v>
      </c>
      <c r="C49" s="2" t="s">
        <v>33</v>
      </c>
      <c r="D49" s="2" t="s">
        <v>34</v>
      </c>
      <c r="E49" s="3">
        <v>45731</v>
      </c>
      <c r="F49" s="2" t="s">
        <v>13</v>
      </c>
      <c r="G49" s="2" t="s">
        <v>19</v>
      </c>
      <c r="H49" s="2">
        <v>300000</v>
      </c>
      <c r="I49" s="2" t="s">
        <v>133</v>
      </c>
    </row>
    <row r="50" spans="1:9" x14ac:dyDescent="0.35">
      <c r="A50" s="2" t="s">
        <v>137</v>
      </c>
      <c r="B50" s="2" t="s">
        <v>138</v>
      </c>
      <c r="C50" s="2" t="s">
        <v>41</v>
      </c>
      <c r="D50" s="2" t="s">
        <v>132</v>
      </c>
      <c r="E50" s="3">
        <v>45125</v>
      </c>
      <c r="F50" s="2" t="s">
        <v>13</v>
      </c>
      <c r="G50" s="2" t="s">
        <v>14</v>
      </c>
      <c r="H50" s="2">
        <v>250000</v>
      </c>
      <c r="I50" s="2" t="s">
        <v>135</v>
      </c>
    </row>
    <row r="51" spans="1:9" x14ac:dyDescent="0.35">
      <c r="A51" s="2" t="s">
        <v>139</v>
      </c>
      <c r="B51" s="2" t="s">
        <v>140</v>
      </c>
      <c r="C51" s="2" t="s">
        <v>11</v>
      </c>
      <c r="D51" s="2" t="s">
        <v>141</v>
      </c>
      <c r="E51" s="3">
        <v>46173</v>
      </c>
      <c r="F51" s="2" t="s">
        <v>13</v>
      </c>
      <c r="G51" s="2" t="s">
        <v>19</v>
      </c>
      <c r="H51" s="2">
        <v>450000</v>
      </c>
      <c r="I51" s="2" t="s">
        <v>137</v>
      </c>
    </row>
    <row r="52" spans="1:9" x14ac:dyDescent="0.35">
      <c r="A52" s="2" t="s">
        <v>142</v>
      </c>
      <c r="B52" s="2" t="s">
        <v>143</v>
      </c>
      <c r="C52" s="2" t="s">
        <v>37</v>
      </c>
      <c r="D52" s="2" t="s">
        <v>62</v>
      </c>
      <c r="E52" s="3">
        <v>45518</v>
      </c>
      <c r="F52" s="2" t="s">
        <v>13</v>
      </c>
      <c r="G52" s="2" t="s">
        <v>48</v>
      </c>
      <c r="H52" s="2">
        <v>500000</v>
      </c>
      <c r="I52" s="2" t="s">
        <v>139</v>
      </c>
    </row>
    <row r="53" spans="1:9" x14ac:dyDescent="0.35">
      <c r="A53" s="2" t="s">
        <v>144</v>
      </c>
      <c r="B53" s="2" t="s">
        <v>145</v>
      </c>
      <c r="C53" s="2" t="s">
        <v>41</v>
      </c>
      <c r="D53" s="2" t="s">
        <v>42</v>
      </c>
      <c r="E53" s="3">
        <v>45792</v>
      </c>
      <c r="F53" s="2" t="s">
        <v>13</v>
      </c>
      <c r="G53" s="2" t="s">
        <v>14</v>
      </c>
      <c r="H53" s="2">
        <v>500000</v>
      </c>
      <c r="I53" s="2" t="s">
        <v>142</v>
      </c>
    </row>
    <row r="54" spans="1:9" x14ac:dyDescent="0.35">
      <c r="A54" s="2" t="s">
        <v>146</v>
      </c>
      <c r="B54" s="2" t="s">
        <v>147</v>
      </c>
      <c r="C54" s="2" t="s">
        <v>37</v>
      </c>
      <c r="D54" s="2" t="s">
        <v>82</v>
      </c>
      <c r="E54" s="3">
        <v>45872</v>
      </c>
      <c r="F54" s="2" t="s">
        <v>30</v>
      </c>
      <c r="G54" s="2" t="s">
        <v>19</v>
      </c>
      <c r="H54" s="2">
        <v>450000</v>
      </c>
      <c r="I54" s="2" t="s">
        <v>144</v>
      </c>
    </row>
    <row r="55" spans="1:9" x14ac:dyDescent="0.35">
      <c r="A55" s="2" t="s">
        <v>148</v>
      </c>
      <c r="B55" s="2" t="s">
        <v>149</v>
      </c>
      <c r="C55" s="2" t="s">
        <v>41</v>
      </c>
      <c r="D55" s="2" t="s">
        <v>132</v>
      </c>
      <c r="E55" s="3">
        <v>45453</v>
      </c>
      <c r="F55" s="2" t="s">
        <v>150</v>
      </c>
      <c r="G55" s="2" t="s">
        <v>19</v>
      </c>
      <c r="H55" s="2">
        <v>300000</v>
      </c>
      <c r="I55" s="2" t="s">
        <v>146</v>
      </c>
    </row>
    <row r="56" spans="1:9" x14ac:dyDescent="0.35">
      <c r="A56" s="2" t="s">
        <v>151</v>
      </c>
      <c r="B56" s="2" t="s">
        <v>152</v>
      </c>
      <c r="C56" s="2" t="s">
        <v>37</v>
      </c>
      <c r="D56" s="2" t="s">
        <v>82</v>
      </c>
      <c r="E56" s="3">
        <v>45340</v>
      </c>
      <c r="F56" s="2" t="s">
        <v>13</v>
      </c>
      <c r="G56" s="2" t="s">
        <v>19</v>
      </c>
      <c r="H56" s="2">
        <v>180000</v>
      </c>
      <c r="I56" s="2" t="s">
        <v>148</v>
      </c>
    </row>
    <row r="57" spans="1:9" x14ac:dyDescent="0.35">
      <c r="A57" s="2" t="s">
        <v>153</v>
      </c>
      <c r="B57" s="2" t="s">
        <v>154</v>
      </c>
      <c r="C57" s="2" t="s">
        <v>11</v>
      </c>
      <c r="D57" s="2" t="s">
        <v>27</v>
      </c>
      <c r="E57" s="3">
        <v>45642</v>
      </c>
      <c r="F57" s="2" t="s">
        <v>13</v>
      </c>
      <c r="G57" s="2" t="s">
        <v>48</v>
      </c>
      <c r="H57" s="2">
        <v>180000</v>
      </c>
      <c r="I57" s="2" t="s">
        <v>151</v>
      </c>
    </row>
    <row r="58" spans="1:9" x14ac:dyDescent="0.35">
      <c r="A58" s="2" t="s">
        <v>155</v>
      </c>
      <c r="B58" s="2" t="s">
        <v>156</v>
      </c>
      <c r="C58" s="2" t="s">
        <v>33</v>
      </c>
      <c r="D58" s="2" t="s">
        <v>87</v>
      </c>
      <c r="E58" s="3">
        <v>44349</v>
      </c>
      <c r="F58" s="2" t="s">
        <v>13</v>
      </c>
      <c r="G58" s="2" t="s">
        <v>48</v>
      </c>
      <c r="H58" s="2">
        <v>220000</v>
      </c>
      <c r="I58" s="2" t="s">
        <v>153</v>
      </c>
    </row>
    <row r="59" spans="1:9" x14ac:dyDescent="0.35">
      <c r="A59" s="2" t="s">
        <v>157</v>
      </c>
      <c r="B59" s="2" t="s">
        <v>158</v>
      </c>
      <c r="C59" s="2" t="s">
        <v>17</v>
      </c>
      <c r="D59" s="2" t="s">
        <v>18</v>
      </c>
      <c r="E59" s="3">
        <v>45018</v>
      </c>
      <c r="F59" s="2" t="s">
        <v>30</v>
      </c>
      <c r="G59" s="2" t="s">
        <v>14</v>
      </c>
      <c r="H59" s="2">
        <v>300000</v>
      </c>
      <c r="I59" s="2" t="s">
        <v>155</v>
      </c>
    </row>
    <row r="60" spans="1:9" x14ac:dyDescent="0.35">
      <c r="A60" s="2" t="s">
        <v>159</v>
      </c>
      <c r="B60" s="2" t="s">
        <v>160</v>
      </c>
      <c r="C60" s="2" t="s">
        <v>41</v>
      </c>
      <c r="D60" s="2" t="s">
        <v>42</v>
      </c>
      <c r="E60" s="3">
        <v>45800</v>
      </c>
      <c r="F60" s="2" t="s">
        <v>24</v>
      </c>
      <c r="G60" s="2" t="s">
        <v>14</v>
      </c>
      <c r="H60" s="2">
        <v>500000</v>
      </c>
      <c r="I60" s="2" t="s">
        <v>157</v>
      </c>
    </row>
    <row r="61" spans="1:9" x14ac:dyDescent="0.35">
      <c r="A61" s="2" t="s">
        <v>161</v>
      </c>
      <c r="B61" s="2" t="s">
        <v>162</v>
      </c>
      <c r="C61" s="2" t="s">
        <v>11</v>
      </c>
      <c r="D61" s="2" t="s">
        <v>12</v>
      </c>
      <c r="E61" s="3">
        <v>45724</v>
      </c>
      <c r="F61" s="2" t="s">
        <v>13</v>
      </c>
      <c r="G61" s="2" t="s">
        <v>14</v>
      </c>
      <c r="H61" s="2">
        <v>500000</v>
      </c>
      <c r="I61" s="2" t="s">
        <v>159</v>
      </c>
    </row>
    <row r="62" spans="1:9" x14ac:dyDescent="0.35">
      <c r="A62" s="2" t="s">
        <v>163</v>
      </c>
      <c r="B62" s="2" t="s">
        <v>164</v>
      </c>
      <c r="C62" s="2" t="s">
        <v>41</v>
      </c>
      <c r="D62" s="2" t="s">
        <v>132</v>
      </c>
      <c r="E62" s="3">
        <v>44884</v>
      </c>
      <c r="F62" s="2" t="s">
        <v>13</v>
      </c>
      <c r="G62" s="2" t="s">
        <v>48</v>
      </c>
      <c r="H62" s="2">
        <v>450000</v>
      </c>
      <c r="I62" s="2" t="s">
        <v>161</v>
      </c>
    </row>
    <row r="63" spans="1:9" x14ac:dyDescent="0.35">
      <c r="A63" s="2" t="s">
        <v>165</v>
      </c>
      <c r="B63" s="2" t="s">
        <v>166</v>
      </c>
      <c r="C63" s="2" t="s">
        <v>37</v>
      </c>
      <c r="D63" s="2" t="s">
        <v>38</v>
      </c>
      <c r="E63" s="3">
        <v>44946</v>
      </c>
      <c r="F63" s="2" t="s">
        <v>24</v>
      </c>
      <c r="G63" s="2" t="s">
        <v>48</v>
      </c>
      <c r="H63" s="2">
        <v>350000</v>
      </c>
      <c r="I63" s="2" t="s">
        <v>163</v>
      </c>
    </row>
    <row r="64" spans="1:9" x14ac:dyDescent="0.35">
      <c r="A64" s="2" t="s">
        <v>167</v>
      </c>
      <c r="B64" s="2" t="s">
        <v>168</v>
      </c>
      <c r="C64" s="2" t="s">
        <v>33</v>
      </c>
      <c r="D64" s="2" t="s">
        <v>34</v>
      </c>
      <c r="E64" s="3">
        <v>44634</v>
      </c>
      <c r="F64" s="2" t="s">
        <v>13</v>
      </c>
      <c r="G64" s="2" t="s">
        <v>48</v>
      </c>
      <c r="H64" s="2">
        <v>350000</v>
      </c>
      <c r="I64" s="2" t="s">
        <v>165</v>
      </c>
    </row>
    <row r="65" spans="1:9" x14ac:dyDescent="0.35">
      <c r="A65" s="2" t="s">
        <v>169</v>
      </c>
      <c r="B65" s="2" t="s">
        <v>170</v>
      </c>
      <c r="C65" s="2" t="s">
        <v>37</v>
      </c>
      <c r="D65" s="2" t="s">
        <v>62</v>
      </c>
      <c r="E65" s="3">
        <v>45829</v>
      </c>
      <c r="F65" s="2" t="s">
        <v>13</v>
      </c>
      <c r="G65" s="2" t="s">
        <v>14</v>
      </c>
      <c r="H65" s="2">
        <v>300000</v>
      </c>
      <c r="I65" s="2" t="s">
        <v>167</v>
      </c>
    </row>
    <row r="66" spans="1:9" x14ac:dyDescent="0.35">
      <c r="A66" s="2" t="s">
        <v>171</v>
      </c>
      <c r="B66" s="2" t="s">
        <v>172</v>
      </c>
      <c r="C66" s="2" t="s">
        <v>22</v>
      </c>
      <c r="D66" s="2" t="s">
        <v>23</v>
      </c>
      <c r="E66" s="3">
        <v>45012</v>
      </c>
      <c r="F66" s="2" t="s">
        <v>13</v>
      </c>
      <c r="G66" s="2" t="s">
        <v>19</v>
      </c>
      <c r="H66" s="2">
        <v>500000</v>
      </c>
      <c r="I66" s="2" t="s">
        <v>169</v>
      </c>
    </row>
    <row r="67" spans="1:9" x14ac:dyDescent="0.35">
      <c r="A67" s="2" t="s">
        <v>173</v>
      </c>
      <c r="B67" s="2" t="s">
        <v>174</v>
      </c>
      <c r="C67" s="2" t="s">
        <v>41</v>
      </c>
      <c r="D67" s="2" t="s">
        <v>42</v>
      </c>
      <c r="E67" s="3">
        <v>45732</v>
      </c>
      <c r="F67" s="2" t="s">
        <v>13</v>
      </c>
      <c r="G67" s="2" t="s">
        <v>48</v>
      </c>
      <c r="H67" s="2">
        <v>350000</v>
      </c>
      <c r="I67" s="2" t="s">
        <v>171</v>
      </c>
    </row>
    <row r="68" spans="1:9" x14ac:dyDescent="0.35">
      <c r="A68" s="2" t="s">
        <v>175</v>
      </c>
      <c r="B68" s="2" t="s">
        <v>176</v>
      </c>
      <c r="C68" s="2" t="s">
        <v>37</v>
      </c>
      <c r="D68" s="2" t="s">
        <v>38</v>
      </c>
      <c r="E68" s="3">
        <v>45593</v>
      </c>
      <c r="F68" s="2" t="s">
        <v>13</v>
      </c>
      <c r="G68" s="2" t="s">
        <v>14</v>
      </c>
      <c r="H68" s="2">
        <v>350000</v>
      </c>
      <c r="I68" s="2" t="s">
        <v>173</v>
      </c>
    </row>
    <row r="69" spans="1:9" x14ac:dyDescent="0.35">
      <c r="A69" s="2" t="s">
        <v>177</v>
      </c>
      <c r="B69" s="2" t="s">
        <v>178</v>
      </c>
      <c r="C69" s="2" t="s">
        <v>22</v>
      </c>
      <c r="D69" s="2" t="s">
        <v>67</v>
      </c>
      <c r="E69" s="3">
        <v>44693</v>
      </c>
      <c r="F69" s="2" t="s">
        <v>30</v>
      </c>
      <c r="G69" s="2" t="s">
        <v>19</v>
      </c>
      <c r="H69" s="2">
        <v>250000</v>
      </c>
      <c r="I69" s="2" t="s">
        <v>175</v>
      </c>
    </row>
    <row r="70" spans="1:9" x14ac:dyDescent="0.35">
      <c r="A70" s="2" t="s">
        <v>179</v>
      </c>
      <c r="B70" s="2" t="s">
        <v>180</v>
      </c>
      <c r="C70" s="2" t="s">
        <v>11</v>
      </c>
      <c r="D70" s="2" t="s">
        <v>12</v>
      </c>
      <c r="E70" s="3">
        <v>45189</v>
      </c>
      <c r="F70" s="2" t="s">
        <v>30</v>
      </c>
      <c r="G70" s="2" t="s">
        <v>14</v>
      </c>
      <c r="H70" s="2">
        <v>500000</v>
      </c>
      <c r="I70" s="2" t="s">
        <v>177</v>
      </c>
    </row>
    <row r="71" spans="1:9" x14ac:dyDescent="0.35">
      <c r="A71" s="2" t="s">
        <v>181</v>
      </c>
      <c r="B71" s="2" t="s">
        <v>182</v>
      </c>
      <c r="C71" s="2" t="s">
        <v>41</v>
      </c>
      <c r="D71" s="2" t="s">
        <v>132</v>
      </c>
      <c r="E71" s="3">
        <v>45476</v>
      </c>
      <c r="F71" s="2" t="s">
        <v>13</v>
      </c>
      <c r="G71" s="2" t="s">
        <v>14</v>
      </c>
      <c r="H71" s="2">
        <v>220000</v>
      </c>
      <c r="I71" s="2" t="s">
        <v>179</v>
      </c>
    </row>
    <row r="72" spans="1:9" x14ac:dyDescent="0.35">
      <c r="A72" s="2" t="s">
        <v>183</v>
      </c>
      <c r="B72" s="2" t="s">
        <v>184</v>
      </c>
      <c r="C72" s="2" t="s">
        <v>37</v>
      </c>
      <c r="D72" s="2" t="s">
        <v>62</v>
      </c>
      <c r="E72" s="3">
        <v>44766</v>
      </c>
      <c r="F72" s="2" t="s">
        <v>24</v>
      </c>
      <c r="G72" s="2" t="s">
        <v>48</v>
      </c>
      <c r="H72" s="2">
        <v>500000</v>
      </c>
      <c r="I72" s="2" t="s">
        <v>181</v>
      </c>
    </row>
    <row r="73" spans="1:9" x14ac:dyDescent="0.35">
      <c r="A73" s="2" t="s">
        <v>185</v>
      </c>
      <c r="B73" s="2" t="s">
        <v>186</v>
      </c>
      <c r="C73" s="2" t="s">
        <v>37</v>
      </c>
      <c r="D73" s="2" t="s">
        <v>38</v>
      </c>
      <c r="E73" s="3">
        <v>45883</v>
      </c>
      <c r="F73" s="2" t="s">
        <v>13</v>
      </c>
      <c r="G73" s="2" t="s">
        <v>48</v>
      </c>
      <c r="H73" s="2">
        <v>220000</v>
      </c>
      <c r="I73" s="2" t="s">
        <v>183</v>
      </c>
    </row>
    <row r="74" spans="1:9" x14ac:dyDescent="0.35">
      <c r="A74" s="2" t="s">
        <v>187</v>
      </c>
      <c r="B74" s="2" t="s">
        <v>188</v>
      </c>
      <c r="C74" s="2" t="s">
        <v>17</v>
      </c>
      <c r="D74" s="2" t="s">
        <v>93</v>
      </c>
      <c r="E74" s="3">
        <v>44981</v>
      </c>
      <c r="F74" s="2" t="s">
        <v>13</v>
      </c>
      <c r="G74" s="2" t="s">
        <v>19</v>
      </c>
      <c r="H74" s="2">
        <v>400000</v>
      </c>
      <c r="I74" s="2" t="s">
        <v>185</v>
      </c>
    </row>
    <row r="75" spans="1:9" x14ac:dyDescent="0.35">
      <c r="A75" s="2" t="s">
        <v>189</v>
      </c>
      <c r="B75" s="2" t="s">
        <v>190</v>
      </c>
      <c r="C75" s="2" t="s">
        <v>22</v>
      </c>
      <c r="D75" s="2" t="s">
        <v>23</v>
      </c>
      <c r="E75" s="3">
        <v>45902</v>
      </c>
      <c r="F75" s="2" t="s">
        <v>13</v>
      </c>
      <c r="G75" s="2" t="s">
        <v>19</v>
      </c>
      <c r="H75" s="2">
        <v>220000</v>
      </c>
      <c r="I75" s="2" t="s">
        <v>187</v>
      </c>
    </row>
    <row r="76" spans="1:9" x14ac:dyDescent="0.35">
      <c r="A76" s="2" t="s">
        <v>191</v>
      </c>
      <c r="B76" s="2" t="s">
        <v>192</v>
      </c>
      <c r="C76" s="2" t="s">
        <v>41</v>
      </c>
      <c r="D76" s="2" t="s">
        <v>42</v>
      </c>
      <c r="E76" s="3">
        <v>44604</v>
      </c>
      <c r="F76" s="2" t="s">
        <v>13</v>
      </c>
      <c r="G76" s="2" t="s">
        <v>48</v>
      </c>
      <c r="H76" s="2">
        <v>450000</v>
      </c>
      <c r="I76" s="2" t="s">
        <v>189</v>
      </c>
    </row>
    <row r="77" spans="1:9" x14ac:dyDescent="0.35">
      <c r="A77" s="2" t="s">
        <v>193</v>
      </c>
      <c r="B77" s="2" t="s">
        <v>194</v>
      </c>
      <c r="C77" s="2" t="s">
        <v>41</v>
      </c>
      <c r="D77" s="2" t="s">
        <v>42</v>
      </c>
      <c r="E77" s="3">
        <v>44232</v>
      </c>
      <c r="F77" s="2" t="s">
        <v>13</v>
      </c>
      <c r="G77" s="2" t="s">
        <v>14</v>
      </c>
      <c r="H77" s="2">
        <v>500000</v>
      </c>
      <c r="I77" s="2" t="s">
        <v>191</v>
      </c>
    </row>
    <row r="78" spans="1:9" x14ac:dyDescent="0.35">
      <c r="A78" s="2" t="s">
        <v>195</v>
      </c>
      <c r="B78" s="2" t="s">
        <v>196</v>
      </c>
      <c r="C78" s="2" t="s">
        <v>37</v>
      </c>
      <c r="D78" s="2" t="s">
        <v>38</v>
      </c>
      <c r="E78" s="3">
        <v>44596</v>
      </c>
      <c r="F78" s="2" t="s">
        <v>13</v>
      </c>
      <c r="G78" s="2" t="s">
        <v>19</v>
      </c>
      <c r="H78" s="2">
        <v>450000</v>
      </c>
      <c r="I78" s="2" t="s">
        <v>193</v>
      </c>
    </row>
    <row r="79" spans="1:9" x14ac:dyDescent="0.35">
      <c r="A79" s="2" t="s">
        <v>197</v>
      </c>
      <c r="B79" s="2" t="s">
        <v>198</v>
      </c>
      <c r="C79" s="2" t="s">
        <v>11</v>
      </c>
      <c r="D79" s="2" t="s">
        <v>27</v>
      </c>
      <c r="E79" s="3">
        <v>45574</v>
      </c>
      <c r="F79" s="2" t="s">
        <v>24</v>
      </c>
      <c r="G79" s="2" t="s">
        <v>19</v>
      </c>
      <c r="H79" s="2">
        <v>180000</v>
      </c>
      <c r="I79" s="2" t="s">
        <v>195</v>
      </c>
    </row>
    <row r="80" spans="1:9" x14ac:dyDescent="0.35">
      <c r="A80" s="2" t="s">
        <v>199</v>
      </c>
      <c r="B80" s="2" t="s">
        <v>200</v>
      </c>
      <c r="C80" s="2" t="s">
        <v>17</v>
      </c>
      <c r="D80" s="2" t="s">
        <v>57</v>
      </c>
      <c r="E80" s="3">
        <v>44771</v>
      </c>
      <c r="F80" s="2" t="s">
        <v>30</v>
      </c>
      <c r="G80" s="2" t="s">
        <v>48</v>
      </c>
      <c r="H80" s="2">
        <v>220000</v>
      </c>
      <c r="I80" s="2" t="s">
        <v>197</v>
      </c>
    </row>
    <row r="81" spans="1:9" x14ac:dyDescent="0.35">
      <c r="A81" s="2" t="s">
        <v>201</v>
      </c>
      <c r="B81" s="2" t="s">
        <v>202</v>
      </c>
      <c r="C81" s="2" t="s">
        <v>17</v>
      </c>
      <c r="D81" s="2" t="s">
        <v>93</v>
      </c>
      <c r="E81" s="3">
        <v>45562</v>
      </c>
      <c r="F81" s="2" t="s">
        <v>13</v>
      </c>
      <c r="G81" s="2" t="s">
        <v>48</v>
      </c>
      <c r="H81" s="2">
        <v>400000</v>
      </c>
      <c r="I81" s="2" t="s">
        <v>199</v>
      </c>
    </row>
    <row r="82" spans="1:9" x14ac:dyDescent="0.35">
      <c r="A82" s="2" t="s">
        <v>203</v>
      </c>
      <c r="B82" s="2" t="s">
        <v>204</v>
      </c>
      <c r="C82" s="2" t="s">
        <v>37</v>
      </c>
      <c r="D82" s="2" t="s">
        <v>82</v>
      </c>
      <c r="E82" s="3">
        <v>45199</v>
      </c>
      <c r="F82" s="2" t="s">
        <v>13</v>
      </c>
      <c r="G82" s="2" t="s">
        <v>14</v>
      </c>
      <c r="H82" s="2">
        <v>300000</v>
      </c>
      <c r="I82" s="2" t="s">
        <v>201</v>
      </c>
    </row>
    <row r="83" spans="1:9" x14ac:dyDescent="0.35">
      <c r="A83" s="2" t="s">
        <v>205</v>
      </c>
      <c r="B83" s="2" t="s">
        <v>206</v>
      </c>
      <c r="C83" s="2" t="s">
        <v>11</v>
      </c>
      <c r="D83" s="2" t="s">
        <v>141</v>
      </c>
      <c r="E83" s="3">
        <v>45840</v>
      </c>
      <c r="F83" s="2" t="s">
        <v>13</v>
      </c>
      <c r="G83" s="2" t="s">
        <v>48</v>
      </c>
      <c r="H83" s="2">
        <v>350000</v>
      </c>
      <c r="I83" s="2" t="s">
        <v>203</v>
      </c>
    </row>
    <row r="84" spans="1:9" x14ac:dyDescent="0.35">
      <c r="A84" s="2" t="s">
        <v>207</v>
      </c>
      <c r="B84" s="2" t="s">
        <v>208</v>
      </c>
      <c r="C84" s="2" t="s">
        <v>11</v>
      </c>
      <c r="D84" s="2" t="s">
        <v>12</v>
      </c>
      <c r="E84" s="3">
        <v>45570</v>
      </c>
      <c r="F84" s="2" t="s">
        <v>13</v>
      </c>
      <c r="G84" s="2" t="s">
        <v>19</v>
      </c>
      <c r="H84" s="2">
        <v>500000</v>
      </c>
      <c r="I84" s="2" t="s">
        <v>205</v>
      </c>
    </row>
    <row r="85" spans="1:9" x14ac:dyDescent="0.35">
      <c r="A85" s="2" t="s">
        <v>209</v>
      </c>
      <c r="B85" s="2" t="s">
        <v>210</v>
      </c>
      <c r="C85" s="2" t="s">
        <v>11</v>
      </c>
      <c r="D85" s="2" t="s">
        <v>141</v>
      </c>
      <c r="E85" s="3">
        <v>44852</v>
      </c>
      <c r="F85" s="2" t="s">
        <v>13</v>
      </c>
      <c r="G85" s="2" t="s">
        <v>48</v>
      </c>
      <c r="H85" s="2">
        <v>400000</v>
      </c>
      <c r="I85" s="2" t="s">
        <v>207</v>
      </c>
    </row>
    <row r="86" spans="1:9" x14ac:dyDescent="0.35">
      <c r="A86" s="2" t="s">
        <v>211</v>
      </c>
      <c r="B86" s="2" t="s">
        <v>212</v>
      </c>
      <c r="C86" s="2" t="s">
        <v>33</v>
      </c>
      <c r="D86" s="2" t="s">
        <v>34</v>
      </c>
      <c r="E86" s="3">
        <v>44853</v>
      </c>
      <c r="F86" s="2" t="s">
        <v>13</v>
      </c>
      <c r="G86" s="2" t="s">
        <v>48</v>
      </c>
      <c r="H86" s="2">
        <v>450000</v>
      </c>
      <c r="I86" s="2" t="s">
        <v>209</v>
      </c>
    </row>
    <row r="87" spans="1:9" x14ac:dyDescent="0.35">
      <c r="A87" s="2" t="s">
        <v>213</v>
      </c>
      <c r="B87" s="2" t="s">
        <v>214</v>
      </c>
      <c r="C87" s="2" t="s">
        <v>17</v>
      </c>
      <c r="D87" s="2" t="s">
        <v>57</v>
      </c>
      <c r="E87" s="3">
        <v>44937</v>
      </c>
      <c r="F87" s="2" t="s">
        <v>30</v>
      </c>
      <c r="G87" s="2" t="s">
        <v>48</v>
      </c>
      <c r="H87" s="2">
        <v>450000</v>
      </c>
      <c r="I87" s="2" t="s">
        <v>211</v>
      </c>
    </row>
    <row r="88" spans="1:9" x14ac:dyDescent="0.35">
      <c r="A88" s="2" t="s">
        <v>215</v>
      </c>
      <c r="B88" s="2" t="s">
        <v>216</v>
      </c>
      <c r="C88" s="2" t="s">
        <v>41</v>
      </c>
      <c r="D88" s="2" t="s">
        <v>42</v>
      </c>
      <c r="E88" s="3">
        <v>46128</v>
      </c>
      <c r="F88" s="2" t="s">
        <v>13</v>
      </c>
      <c r="G88" s="2" t="s">
        <v>48</v>
      </c>
      <c r="H88" s="2">
        <v>220000</v>
      </c>
      <c r="I88" s="2" t="s">
        <v>213</v>
      </c>
    </row>
    <row r="89" spans="1:9" x14ac:dyDescent="0.35">
      <c r="A89" s="2" t="s">
        <v>217</v>
      </c>
      <c r="B89" s="2" t="s">
        <v>218</v>
      </c>
      <c r="C89" s="2" t="s">
        <v>41</v>
      </c>
      <c r="D89" s="2" t="s">
        <v>45</v>
      </c>
      <c r="E89" s="3">
        <v>45971</v>
      </c>
      <c r="F89" s="2" t="s">
        <v>24</v>
      </c>
      <c r="G89" s="2" t="s">
        <v>48</v>
      </c>
      <c r="H89" s="2">
        <v>500000</v>
      </c>
      <c r="I89" s="2" t="s">
        <v>215</v>
      </c>
    </row>
    <row r="90" spans="1:9" x14ac:dyDescent="0.35">
      <c r="A90" s="2" t="s">
        <v>219</v>
      </c>
      <c r="B90" s="2" t="s">
        <v>220</v>
      </c>
      <c r="C90" s="2" t="s">
        <v>41</v>
      </c>
      <c r="D90" s="2" t="s">
        <v>42</v>
      </c>
      <c r="E90" s="3">
        <v>44684</v>
      </c>
      <c r="F90" s="2" t="s">
        <v>30</v>
      </c>
      <c r="G90" s="2" t="s">
        <v>14</v>
      </c>
      <c r="H90" s="2">
        <v>500000</v>
      </c>
      <c r="I90" s="2" t="s">
        <v>217</v>
      </c>
    </row>
    <row r="91" spans="1:9" x14ac:dyDescent="0.35">
      <c r="A91" s="2" t="s">
        <v>221</v>
      </c>
      <c r="B91" s="2" t="s">
        <v>222</v>
      </c>
      <c r="C91" s="2" t="s">
        <v>22</v>
      </c>
      <c r="D91" s="2" t="s">
        <v>23</v>
      </c>
      <c r="E91" s="3">
        <v>44900</v>
      </c>
      <c r="F91" s="2" t="s">
        <v>30</v>
      </c>
      <c r="G91" s="2" t="s">
        <v>48</v>
      </c>
      <c r="H91" s="2">
        <v>350000</v>
      </c>
      <c r="I91" s="2" t="s">
        <v>219</v>
      </c>
    </row>
    <row r="92" spans="1:9" x14ac:dyDescent="0.35">
      <c r="A92" s="2" t="s">
        <v>223</v>
      </c>
      <c r="B92" s="2" t="s">
        <v>224</v>
      </c>
      <c r="C92" s="2" t="s">
        <v>33</v>
      </c>
      <c r="D92" s="2" t="s">
        <v>100</v>
      </c>
      <c r="E92" s="3">
        <v>45296</v>
      </c>
      <c r="F92" s="2" t="s">
        <v>13</v>
      </c>
      <c r="G92" s="2" t="s">
        <v>14</v>
      </c>
      <c r="H92" s="2">
        <v>400000</v>
      </c>
      <c r="I92" s="2" t="s">
        <v>221</v>
      </c>
    </row>
    <row r="93" spans="1:9" x14ac:dyDescent="0.35">
      <c r="A93" s="2" t="s">
        <v>225</v>
      </c>
      <c r="B93" s="2" t="s">
        <v>226</v>
      </c>
      <c r="C93" s="2" t="s">
        <v>41</v>
      </c>
      <c r="D93" s="2" t="s">
        <v>45</v>
      </c>
      <c r="E93" s="3">
        <v>45505</v>
      </c>
      <c r="F93" s="2" t="s">
        <v>13</v>
      </c>
      <c r="G93" s="2" t="s">
        <v>14</v>
      </c>
      <c r="H93" s="2">
        <v>450000</v>
      </c>
      <c r="I93" s="2" t="s">
        <v>223</v>
      </c>
    </row>
    <row r="94" spans="1:9" x14ac:dyDescent="0.35">
      <c r="A94" s="2" t="s">
        <v>227</v>
      </c>
      <c r="B94" s="2" t="s">
        <v>228</v>
      </c>
      <c r="C94" s="2" t="s">
        <v>41</v>
      </c>
      <c r="D94" s="2" t="s">
        <v>45</v>
      </c>
      <c r="E94" s="3">
        <v>44290</v>
      </c>
      <c r="F94" s="2" t="s">
        <v>24</v>
      </c>
      <c r="G94" s="2" t="s">
        <v>14</v>
      </c>
      <c r="H94" s="2">
        <v>300000</v>
      </c>
      <c r="I94" s="2" t="s">
        <v>225</v>
      </c>
    </row>
    <row r="95" spans="1:9" x14ac:dyDescent="0.35">
      <c r="A95" s="2" t="s">
        <v>229</v>
      </c>
      <c r="B95" s="2" t="s">
        <v>230</v>
      </c>
      <c r="C95" s="2" t="s">
        <v>17</v>
      </c>
      <c r="D95" s="2" t="s">
        <v>93</v>
      </c>
      <c r="E95" s="3">
        <v>44670</v>
      </c>
      <c r="F95" s="2" t="s">
        <v>13</v>
      </c>
      <c r="G95" s="2" t="s">
        <v>14</v>
      </c>
      <c r="H95" s="2">
        <v>400000</v>
      </c>
      <c r="I95" s="2" t="s">
        <v>227</v>
      </c>
    </row>
    <row r="96" spans="1:9" x14ac:dyDescent="0.35">
      <c r="A96" s="2" t="s">
        <v>231</v>
      </c>
      <c r="B96" s="2" t="s">
        <v>232</v>
      </c>
      <c r="C96" s="2" t="s">
        <v>37</v>
      </c>
      <c r="D96" s="2" t="s">
        <v>62</v>
      </c>
      <c r="E96" s="3">
        <v>44553</v>
      </c>
      <c r="F96" s="2" t="s">
        <v>13</v>
      </c>
      <c r="G96" s="2" t="s">
        <v>48</v>
      </c>
      <c r="H96" s="2">
        <v>400000</v>
      </c>
      <c r="I96" s="2" t="s">
        <v>229</v>
      </c>
    </row>
    <row r="97" spans="1:9" x14ac:dyDescent="0.35">
      <c r="A97" s="2" t="s">
        <v>233</v>
      </c>
      <c r="B97" s="2" t="s">
        <v>234</v>
      </c>
      <c r="C97" s="2" t="s">
        <v>22</v>
      </c>
      <c r="D97" s="2" t="s">
        <v>67</v>
      </c>
      <c r="E97" s="3">
        <v>45320</v>
      </c>
      <c r="F97" s="2" t="s">
        <v>13</v>
      </c>
      <c r="G97" s="2" t="s">
        <v>19</v>
      </c>
      <c r="H97" s="2">
        <v>220000</v>
      </c>
      <c r="I97" s="2" t="s">
        <v>231</v>
      </c>
    </row>
    <row r="98" spans="1:9" x14ac:dyDescent="0.35">
      <c r="A98" s="2" t="s">
        <v>235</v>
      </c>
      <c r="B98" s="2" t="s">
        <v>236</v>
      </c>
      <c r="C98" s="2" t="s">
        <v>17</v>
      </c>
      <c r="D98" s="2" t="s">
        <v>57</v>
      </c>
      <c r="E98" s="3">
        <v>45879</v>
      </c>
      <c r="F98" s="2" t="s">
        <v>13</v>
      </c>
      <c r="G98" s="2" t="s">
        <v>14</v>
      </c>
      <c r="H98" s="2">
        <v>350000</v>
      </c>
      <c r="I98" s="2" t="s">
        <v>233</v>
      </c>
    </row>
    <row r="99" spans="1:9" x14ac:dyDescent="0.35">
      <c r="A99" s="2" t="s">
        <v>237</v>
      </c>
      <c r="B99" s="2" t="s">
        <v>238</v>
      </c>
      <c r="C99" s="2" t="s">
        <v>11</v>
      </c>
      <c r="D99" s="2" t="s">
        <v>12</v>
      </c>
      <c r="E99" s="3">
        <v>45236</v>
      </c>
      <c r="F99" s="2" t="s">
        <v>13</v>
      </c>
      <c r="G99" s="2" t="s">
        <v>14</v>
      </c>
      <c r="H99" s="2">
        <v>300000</v>
      </c>
      <c r="I99" s="2" t="s">
        <v>235</v>
      </c>
    </row>
    <row r="100" spans="1:9" x14ac:dyDescent="0.35">
      <c r="A100" s="2" t="s">
        <v>239</v>
      </c>
      <c r="B100" s="2" t="s">
        <v>240</v>
      </c>
      <c r="C100" s="2" t="s">
        <v>33</v>
      </c>
      <c r="D100" s="2" t="s">
        <v>100</v>
      </c>
      <c r="E100" s="3">
        <v>45048</v>
      </c>
      <c r="F100" s="2" t="s">
        <v>13</v>
      </c>
      <c r="G100" s="2" t="s">
        <v>14</v>
      </c>
      <c r="H100" s="2">
        <v>180000</v>
      </c>
      <c r="I100" s="2" t="s">
        <v>237</v>
      </c>
    </row>
    <row r="101" spans="1:9" x14ac:dyDescent="0.35">
      <c r="A101" s="2" t="s">
        <v>241</v>
      </c>
      <c r="B101" s="2" t="s">
        <v>242</v>
      </c>
      <c r="C101" s="2" t="s">
        <v>22</v>
      </c>
      <c r="D101" s="2" t="s">
        <v>23</v>
      </c>
      <c r="E101" s="3">
        <v>44887</v>
      </c>
      <c r="F101" s="2" t="s">
        <v>30</v>
      </c>
      <c r="G101" s="2" t="s">
        <v>19</v>
      </c>
      <c r="H101" s="2">
        <v>180000</v>
      </c>
      <c r="I101" s="2" t="s">
        <v>239</v>
      </c>
    </row>
    <row r="102" spans="1:9" x14ac:dyDescent="0.35">
      <c r="A102" s="2" t="s">
        <v>53</v>
      </c>
      <c r="B102" s="2" t="s">
        <v>54</v>
      </c>
      <c r="C102" s="2" t="s">
        <v>11</v>
      </c>
      <c r="D102" s="2" t="s">
        <v>27</v>
      </c>
      <c r="E102" s="3">
        <v>45782</v>
      </c>
      <c r="F102" s="2" t="s">
        <v>24</v>
      </c>
      <c r="G102" s="2" t="s">
        <v>48</v>
      </c>
      <c r="H102" s="2">
        <v>400000</v>
      </c>
      <c r="I102" s="2" t="s">
        <v>51</v>
      </c>
    </row>
  </sheetData>
  <autoFilter ref="A1:I10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EB9B4-FD50-477A-BCB9-29691D7230C5}">
  <dimension ref="A1:S101"/>
  <sheetViews>
    <sheetView workbookViewId="0">
      <pane ySplit="1" topLeftCell="A70" activePane="bottomLeft" state="frozen"/>
      <selection pane="bottomLeft" activeCell="Q9" sqref="Q9:Q14"/>
    </sheetView>
  </sheetViews>
  <sheetFormatPr defaultRowHeight="14.5" x14ac:dyDescent="0.35"/>
  <cols>
    <col min="1" max="1" width="12" customWidth="1"/>
    <col min="2" max="4" width="18" customWidth="1"/>
    <col min="5" max="5" width="29" customWidth="1"/>
    <col min="6" max="6" width="21" customWidth="1"/>
    <col min="7" max="7" width="18" customWidth="1"/>
    <col min="8" max="8" width="12" customWidth="1"/>
    <col min="9" max="9" width="18" customWidth="1"/>
    <col min="10" max="10" width="12" customWidth="1"/>
    <col min="11" max="11" width="14.36328125" bestFit="1" customWidth="1"/>
    <col min="12" max="12" width="9" bestFit="1" customWidth="1"/>
    <col min="19" max="19" width="16.08984375" bestFit="1" customWidth="1"/>
  </cols>
  <sheetData>
    <row r="1" spans="1:19" ht="30" customHeight="1" x14ac:dyDescent="0.3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 t="s">
        <v>322</v>
      </c>
      <c r="L1" s="4" t="s">
        <v>323</v>
      </c>
      <c r="M1" s="4" t="s">
        <v>324</v>
      </c>
    </row>
    <row r="2" spans="1:19" x14ac:dyDescent="0.35">
      <c r="A2" s="2" t="s">
        <v>9</v>
      </c>
      <c r="B2" s="2" t="s">
        <v>10</v>
      </c>
      <c r="C2" s="2" t="s">
        <v>11</v>
      </c>
      <c r="D2" s="2" t="str">
        <f>TRIM(C2)</f>
        <v>Operations</v>
      </c>
      <c r="E2" s="2" t="s">
        <v>12</v>
      </c>
      <c r="F2" s="3">
        <v>45057</v>
      </c>
      <c r="G2" s="2" t="s">
        <v>13</v>
      </c>
      <c r="H2" s="2" t="s">
        <v>14</v>
      </c>
      <c r="I2" s="2">
        <v>350000</v>
      </c>
      <c r="J2" s="2"/>
      <c r="K2" t="str">
        <f>IF(COUNTIF($A$2:A2,A2)&gt;1, "Duplicate", "First Occurrence")</f>
        <v>First Occurrence</v>
      </c>
      <c r="L2" t="str">
        <f>IF(EXACT(G2, PROPER(G2)), "Consistent", "Change")</f>
        <v>Consistent</v>
      </c>
      <c r="M2" t="str">
        <f>PROPER(TRIM(G2))</f>
        <v>Active</v>
      </c>
      <c r="S2" t="str" cm="1">
        <f t="array" ref="S2:S4">_xlfn.UNIQUE(M2:M101)</f>
        <v>Active</v>
      </c>
    </row>
    <row r="3" spans="1:19" x14ac:dyDescent="0.35">
      <c r="A3" s="2" t="s">
        <v>15</v>
      </c>
      <c r="B3" s="2" t="s">
        <v>16</v>
      </c>
      <c r="C3" s="2" t="s">
        <v>17</v>
      </c>
      <c r="D3" s="2" t="str">
        <f t="shared" ref="D3:D9" si="0">TRIM(C3)</f>
        <v>Finance</v>
      </c>
      <c r="E3" s="2" t="s">
        <v>18</v>
      </c>
      <c r="F3" s="3">
        <v>44663</v>
      </c>
      <c r="G3" s="2" t="s">
        <v>13</v>
      </c>
      <c r="H3" s="2" t="s">
        <v>19</v>
      </c>
      <c r="I3" s="2">
        <v>500000</v>
      </c>
      <c r="J3" s="2" t="s">
        <v>9</v>
      </c>
      <c r="K3" t="str">
        <f>IF(COUNTIF($A$2:A3,A3)&gt;1, "Duplicate", "First Occurrence")</f>
        <v>First Occurrence</v>
      </c>
      <c r="L3" t="str">
        <f t="shared" ref="L3:L66" si="1">IF(EXACT(G3, PROPER(G3)), "Consistent", "Change")</f>
        <v>Consistent</v>
      </c>
      <c r="M3" t="str">
        <f t="shared" ref="M3:M60" si="2">PROPER(TRIM(G3))</f>
        <v>Active</v>
      </c>
      <c r="S3" t="str">
        <v>Inactive</v>
      </c>
    </row>
    <row r="4" spans="1:19" x14ac:dyDescent="0.35">
      <c r="A4" s="2" t="s">
        <v>20</v>
      </c>
      <c r="B4" s="2" t="s">
        <v>21</v>
      </c>
      <c r="C4" s="2" t="s">
        <v>22</v>
      </c>
      <c r="D4" s="2" t="str">
        <f t="shared" si="0"/>
        <v>IT</v>
      </c>
      <c r="E4" s="2" t="s">
        <v>23</v>
      </c>
      <c r="F4" s="3">
        <v>45320</v>
      </c>
      <c r="G4" s="2" t="s">
        <v>24</v>
      </c>
      <c r="H4" s="2" t="s">
        <v>14</v>
      </c>
      <c r="I4" s="2">
        <v>220000</v>
      </c>
      <c r="J4" s="2" t="s">
        <v>15</v>
      </c>
      <c r="K4" t="str">
        <f>IF(COUNTIF($A$2:A4,A4)&gt;1, "Duplicate", "First Occurrence")</f>
        <v>First Occurrence</v>
      </c>
      <c r="L4" t="str">
        <f t="shared" si="1"/>
        <v>Consistent</v>
      </c>
      <c r="M4" t="str">
        <f t="shared" si="2"/>
        <v>Inactive</v>
      </c>
      <c r="S4" t="str">
        <v>On Leave</v>
      </c>
    </row>
    <row r="5" spans="1:19" x14ac:dyDescent="0.35">
      <c r="A5" s="2" t="s">
        <v>25</v>
      </c>
      <c r="B5" s="2" t="s">
        <v>26</v>
      </c>
      <c r="C5" s="2" t="s">
        <v>11</v>
      </c>
      <c r="D5" s="2" t="str">
        <f t="shared" si="0"/>
        <v>Operations</v>
      </c>
      <c r="E5" s="2" t="s">
        <v>27</v>
      </c>
      <c r="F5" s="3">
        <v>45634</v>
      </c>
      <c r="G5" s="2" t="s">
        <v>13</v>
      </c>
      <c r="H5" s="2" t="s">
        <v>14</v>
      </c>
      <c r="I5" s="2">
        <v>180000</v>
      </c>
      <c r="J5" s="2" t="s">
        <v>20</v>
      </c>
      <c r="K5" t="str">
        <f>IF(COUNTIF($A$2:A5,A5)&gt;1, "Duplicate", "First Occurrence")</f>
        <v>First Occurrence</v>
      </c>
      <c r="L5" t="str">
        <f t="shared" si="1"/>
        <v>Consistent</v>
      </c>
      <c r="M5" t="str">
        <f t="shared" si="2"/>
        <v>Active</v>
      </c>
    </row>
    <row r="6" spans="1:19" x14ac:dyDescent="0.35">
      <c r="A6" s="2" t="s">
        <v>28</v>
      </c>
      <c r="B6" s="2" t="s">
        <v>29</v>
      </c>
      <c r="C6" s="2" t="s">
        <v>11</v>
      </c>
      <c r="D6" s="2" t="str">
        <f t="shared" si="0"/>
        <v>Operations</v>
      </c>
      <c r="E6" s="2" t="s">
        <v>27</v>
      </c>
      <c r="F6" s="3">
        <v>45534</v>
      </c>
      <c r="G6" s="2" t="s">
        <v>30</v>
      </c>
      <c r="H6" s="2" t="s">
        <v>14</v>
      </c>
      <c r="I6" s="2">
        <v>180000</v>
      </c>
      <c r="J6" s="2" t="s">
        <v>25</v>
      </c>
      <c r="K6" t="str">
        <f>IF(COUNTIF($A$2:A6,A6)&gt;1, "Duplicate", "First Occurrence")</f>
        <v>First Occurrence</v>
      </c>
      <c r="L6" t="str">
        <f t="shared" si="1"/>
        <v>Consistent</v>
      </c>
      <c r="M6" t="str">
        <f t="shared" si="2"/>
        <v>On Leave</v>
      </c>
      <c r="S6">
        <f>COUNTA(_xlfn.UNIQUE(B2:B101))</f>
        <v>100</v>
      </c>
    </row>
    <row r="7" spans="1:19" x14ac:dyDescent="0.35">
      <c r="A7" s="2" t="s">
        <v>31</v>
      </c>
      <c r="B7" s="2" t="s">
        <v>32</v>
      </c>
      <c r="C7" s="2" t="s">
        <v>33</v>
      </c>
      <c r="D7" s="2" t="str">
        <f t="shared" si="0"/>
        <v>Sales</v>
      </c>
      <c r="E7" s="2" t="s">
        <v>34</v>
      </c>
      <c r="F7" s="3">
        <v>45279</v>
      </c>
      <c r="G7" s="2" t="s">
        <v>13</v>
      </c>
      <c r="H7" s="2" t="s">
        <v>19</v>
      </c>
      <c r="I7" s="2">
        <v>400000</v>
      </c>
      <c r="J7" s="2" t="s">
        <v>28</v>
      </c>
      <c r="K7" t="str">
        <f>IF(COUNTIF($A$2:A7,A7)&gt;1, "Duplicate", "First Occurrence")</f>
        <v>First Occurrence</v>
      </c>
      <c r="L7" t="str">
        <f t="shared" si="1"/>
        <v>Consistent</v>
      </c>
      <c r="M7" t="str">
        <f t="shared" si="2"/>
        <v>Active</v>
      </c>
    </row>
    <row r="8" spans="1:19" x14ac:dyDescent="0.35">
      <c r="A8" s="2" t="s">
        <v>35</v>
      </c>
      <c r="B8" s="2" t="s">
        <v>36</v>
      </c>
      <c r="C8" s="2" t="s">
        <v>37</v>
      </c>
      <c r="D8" s="2" t="str">
        <f t="shared" si="0"/>
        <v>Customer Support</v>
      </c>
      <c r="E8" s="2" t="s">
        <v>38</v>
      </c>
      <c r="F8" s="3">
        <v>44883</v>
      </c>
      <c r="G8" s="2" t="s">
        <v>13</v>
      </c>
      <c r="H8" s="2" t="s">
        <v>19</v>
      </c>
      <c r="I8" s="2">
        <v>300000</v>
      </c>
      <c r="J8" s="2" t="s">
        <v>31</v>
      </c>
      <c r="K8" t="str">
        <f>IF(COUNTIF($A$2:A8,A8)&gt;1, "Duplicate", "First Occurrence")</f>
        <v>First Occurrence</v>
      </c>
      <c r="L8" t="str">
        <f t="shared" si="1"/>
        <v>Consistent</v>
      </c>
      <c r="M8" t="str">
        <f t="shared" si="2"/>
        <v>Active</v>
      </c>
    </row>
    <row r="9" spans="1:19" x14ac:dyDescent="0.35">
      <c r="A9" s="2" t="s">
        <v>39</v>
      </c>
      <c r="B9" s="2" t="s">
        <v>40</v>
      </c>
      <c r="C9" s="2" t="s">
        <v>41</v>
      </c>
      <c r="D9" s="2" t="str">
        <f t="shared" si="0"/>
        <v>Human Resources</v>
      </c>
      <c r="E9" s="2" t="s">
        <v>42</v>
      </c>
      <c r="F9" s="3">
        <v>45351</v>
      </c>
      <c r="G9" s="2" t="s">
        <v>13</v>
      </c>
      <c r="H9" s="2" t="s">
        <v>19</v>
      </c>
      <c r="I9" s="2">
        <v>350000</v>
      </c>
      <c r="J9" s="2" t="s">
        <v>35</v>
      </c>
      <c r="K9" t="str">
        <f>IF(COUNTIF($A$2:A9,A9)&gt;1, "Duplicate", "First Occurrence")</f>
        <v>First Occurrence</v>
      </c>
      <c r="L9" t="str">
        <f t="shared" si="1"/>
        <v>Consistent</v>
      </c>
      <c r="M9" t="str">
        <f t="shared" si="2"/>
        <v>Active</v>
      </c>
      <c r="Q9" t="str" cm="1">
        <f t="array" ref="Q9:Q15">_xlfn.UNIQUE($D$2:$D$101)</f>
        <v>Operations</v>
      </c>
    </row>
    <row r="10" spans="1:19" x14ac:dyDescent="0.35">
      <c r="A10" s="2" t="s">
        <v>43</v>
      </c>
      <c r="B10" s="2" t="s">
        <v>44</v>
      </c>
      <c r="C10" s="2"/>
      <c r="D10" s="2"/>
      <c r="E10" s="2" t="s">
        <v>45</v>
      </c>
      <c r="F10" s="3">
        <v>44363</v>
      </c>
      <c r="G10" s="2" t="s">
        <v>13</v>
      </c>
      <c r="H10" s="2" t="s">
        <v>14</v>
      </c>
      <c r="I10" s="2">
        <v>300000</v>
      </c>
      <c r="J10" s="2" t="s">
        <v>39</v>
      </c>
      <c r="K10" t="str">
        <f>IF(COUNTIF($A$2:A10,A10)&gt;1, "Duplicate", "First Occurrence")</f>
        <v>First Occurrence</v>
      </c>
      <c r="L10" t="str">
        <f t="shared" si="1"/>
        <v>Consistent</v>
      </c>
      <c r="M10" t="str">
        <f t="shared" si="2"/>
        <v>Active</v>
      </c>
      <c r="Q10" t="str">
        <v>Finance</v>
      </c>
    </row>
    <row r="11" spans="1:19" x14ac:dyDescent="0.35">
      <c r="A11" s="2" t="s">
        <v>46</v>
      </c>
      <c r="B11" s="2" t="s">
        <v>47</v>
      </c>
      <c r="C11" s="2" t="s">
        <v>37</v>
      </c>
      <c r="D11" s="2" t="str">
        <f t="shared" ref="D11:D74" si="3">TRIM(C11)</f>
        <v>Customer Support</v>
      </c>
      <c r="E11" s="2" t="s">
        <v>38</v>
      </c>
      <c r="F11" s="3">
        <v>44438</v>
      </c>
      <c r="G11" s="2" t="s">
        <v>13</v>
      </c>
      <c r="H11" s="2" t="s">
        <v>48</v>
      </c>
      <c r="I11" s="2">
        <v>350000</v>
      </c>
      <c r="J11" s="2" t="s">
        <v>43</v>
      </c>
      <c r="K11" t="str">
        <f>IF(COUNTIF($A$2:A11,A11)&gt;1, "Duplicate", "First Occurrence")</f>
        <v>First Occurrence</v>
      </c>
      <c r="L11" t="str">
        <f t="shared" si="1"/>
        <v>Consistent</v>
      </c>
      <c r="M11" t="str">
        <f t="shared" si="2"/>
        <v>Active</v>
      </c>
      <c r="Q11" t="str">
        <v>IT</v>
      </c>
    </row>
    <row r="12" spans="1:19" x14ac:dyDescent="0.35">
      <c r="A12" s="2" t="s">
        <v>49</v>
      </c>
      <c r="B12" s="2" t="s">
        <v>50</v>
      </c>
      <c r="C12" s="2" t="s">
        <v>17</v>
      </c>
      <c r="D12" s="2" t="str">
        <f t="shared" si="3"/>
        <v>Finance</v>
      </c>
      <c r="E12" s="2" t="s">
        <v>18</v>
      </c>
      <c r="F12" s="3">
        <v>45560</v>
      </c>
      <c r="G12" s="2" t="s">
        <v>13</v>
      </c>
      <c r="H12" s="2" t="s">
        <v>19</v>
      </c>
      <c r="I12" s="2">
        <v>300000</v>
      </c>
      <c r="J12" s="2" t="s">
        <v>46</v>
      </c>
      <c r="K12" t="str">
        <f>IF(COUNTIF($A$2:A12,A12)&gt;1, "Duplicate", "First Occurrence")</f>
        <v>First Occurrence</v>
      </c>
      <c r="L12" t="str">
        <f t="shared" si="1"/>
        <v>Consistent</v>
      </c>
      <c r="M12" t="str">
        <f t="shared" si="2"/>
        <v>Active</v>
      </c>
      <c r="Q12" t="str">
        <v>Sales</v>
      </c>
    </row>
    <row r="13" spans="1:19" x14ac:dyDescent="0.35">
      <c r="A13" s="2" t="s">
        <v>51</v>
      </c>
      <c r="B13" s="2" t="s">
        <v>52</v>
      </c>
      <c r="C13" s="2" t="s">
        <v>22</v>
      </c>
      <c r="D13" s="2" t="str">
        <f t="shared" si="3"/>
        <v>IT</v>
      </c>
      <c r="E13" s="2" t="s">
        <v>23</v>
      </c>
      <c r="F13" s="3">
        <v>44972</v>
      </c>
      <c r="G13" s="2" t="s">
        <v>13</v>
      </c>
      <c r="H13" s="2" t="s">
        <v>48</v>
      </c>
      <c r="I13" s="2">
        <v>180000</v>
      </c>
      <c r="J13" s="2" t="s">
        <v>49</v>
      </c>
      <c r="K13" t="str">
        <f>IF(COUNTIF($A$2:A13,A13)&gt;1, "Duplicate", "First Occurrence")</f>
        <v>First Occurrence</v>
      </c>
      <c r="L13" t="str">
        <f t="shared" si="1"/>
        <v>Consistent</v>
      </c>
      <c r="M13" t="str">
        <f t="shared" si="2"/>
        <v>Active</v>
      </c>
      <c r="Q13" t="str">
        <v>Customer Support</v>
      </c>
    </row>
    <row r="14" spans="1:19" x14ac:dyDescent="0.35">
      <c r="A14" s="2" t="s">
        <v>53</v>
      </c>
      <c r="B14" s="2" t="s">
        <v>54</v>
      </c>
      <c r="C14" s="2" t="s">
        <v>11</v>
      </c>
      <c r="D14" s="2" t="str">
        <f t="shared" si="3"/>
        <v>Operations</v>
      </c>
      <c r="E14" s="2" t="s">
        <v>27</v>
      </c>
      <c r="F14" s="3">
        <v>45782</v>
      </c>
      <c r="G14" s="2" t="s">
        <v>24</v>
      </c>
      <c r="H14" s="2" t="s">
        <v>48</v>
      </c>
      <c r="I14" s="2">
        <v>400000</v>
      </c>
      <c r="J14" s="2" t="s">
        <v>51</v>
      </c>
      <c r="K14" t="str">
        <f>IF(COUNTIF($A$2:A14,A14)&gt;1, "Duplicate", "First Occurrence")</f>
        <v>First Occurrence</v>
      </c>
      <c r="L14" t="str">
        <f t="shared" si="1"/>
        <v>Consistent</v>
      </c>
      <c r="M14" t="str">
        <f t="shared" si="2"/>
        <v>Inactive</v>
      </c>
      <c r="Q14" t="str">
        <v>Human Resources</v>
      </c>
    </row>
    <row r="15" spans="1:19" x14ac:dyDescent="0.35">
      <c r="A15" s="2" t="s">
        <v>55</v>
      </c>
      <c r="B15" s="2" t="s">
        <v>56</v>
      </c>
      <c r="C15" s="2" t="s">
        <v>17</v>
      </c>
      <c r="D15" s="2" t="str">
        <f t="shared" si="3"/>
        <v>Finance</v>
      </c>
      <c r="E15" s="2" t="s">
        <v>57</v>
      </c>
      <c r="F15" s="3">
        <v>45992</v>
      </c>
      <c r="G15" s="2" t="s">
        <v>30</v>
      </c>
      <c r="H15" s="2" t="s">
        <v>19</v>
      </c>
      <c r="I15" s="2">
        <v>220000</v>
      </c>
      <c r="J15" s="2" t="s">
        <v>53</v>
      </c>
      <c r="K15" t="str">
        <f>IF(COUNTIF($A$2:A15,A15)&gt;1, "Duplicate", "First Occurrence")</f>
        <v>First Occurrence</v>
      </c>
      <c r="L15" t="str">
        <f t="shared" si="1"/>
        <v>Consistent</v>
      </c>
      <c r="M15" t="str">
        <f t="shared" si="2"/>
        <v>On Leave</v>
      </c>
      <c r="Q15">
        <v>0</v>
      </c>
    </row>
    <row r="16" spans="1:19" x14ac:dyDescent="0.35">
      <c r="A16" s="2" t="s">
        <v>58</v>
      </c>
      <c r="B16" s="2" t="s">
        <v>59</v>
      </c>
      <c r="C16" s="2" t="s">
        <v>17</v>
      </c>
      <c r="D16" s="2" t="str">
        <f t="shared" si="3"/>
        <v>Finance</v>
      </c>
      <c r="E16" s="2" t="s">
        <v>57</v>
      </c>
      <c r="F16" s="3">
        <v>45776</v>
      </c>
      <c r="G16" s="2" t="s">
        <v>13</v>
      </c>
      <c r="H16" s="2" t="s">
        <v>48</v>
      </c>
      <c r="I16" s="2">
        <v>300000</v>
      </c>
      <c r="J16" s="2" t="s">
        <v>55</v>
      </c>
      <c r="K16" t="str">
        <f>IF(COUNTIF($A$2:A16,A16)&gt;1, "Duplicate", "First Occurrence")</f>
        <v>First Occurrence</v>
      </c>
      <c r="L16" t="str">
        <f t="shared" si="1"/>
        <v>Consistent</v>
      </c>
      <c r="M16" t="str">
        <f t="shared" si="2"/>
        <v>Active</v>
      </c>
    </row>
    <row r="17" spans="1:13" x14ac:dyDescent="0.35">
      <c r="A17" s="2" t="s">
        <v>60</v>
      </c>
      <c r="B17" s="2" t="s">
        <v>61</v>
      </c>
      <c r="C17" s="2" t="s">
        <v>37</v>
      </c>
      <c r="D17" s="2" t="str">
        <f t="shared" si="3"/>
        <v>Customer Support</v>
      </c>
      <c r="E17" s="2" t="s">
        <v>62</v>
      </c>
      <c r="F17" s="3">
        <v>46083</v>
      </c>
      <c r="G17" s="2" t="s">
        <v>24</v>
      </c>
      <c r="H17" s="2" t="s">
        <v>19</v>
      </c>
      <c r="I17" s="2">
        <v>300000</v>
      </c>
      <c r="J17" s="2" t="s">
        <v>58</v>
      </c>
      <c r="K17" t="str">
        <f>IF(COUNTIF($A$2:A17,A17)&gt;1, "Duplicate", "First Occurrence")</f>
        <v>First Occurrence</v>
      </c>
      <c r="L17" t="str">
        <f t="shared" si="1"/>
        <v>Consistent</v>
      </c>
      <c r="M17" t="str">
        <f t="shared" si="2"/>
        <v>Inactive</v>
      </c>
    </row>
    <row r="18" spans="1:13" x14ac:dyDescent="0.35">
      <c r="A18" s="2" t="s">
        <v>63</v>
      </c>
      <c r="B18" s="2" t="s">
        <v>64</v>
      </c>
      <c r="C18" s="2" t="s">
        <v>41</v>
      </c>
      <c r="D18" s="2" t="str">
        <f t="shared" si="3"/>
        <v>Human Resources</v>
      </c>
      <c r="E18" s="2" t="s">
        <v>42</v>
      </c>
      <c r="F18" s="3">
        <v>45922</v>
      </c>
      <c r="G18" s="2" t="s">
        <v>30</v>
      </c>
      <c r="H18" s="2" t="s">
        <v>48</v>
      </c>
      <c r="I18" s="2">
        <v>450000</v>
      </c>
      <c r="J18" s="2" t="s">
        <v>60</v>
      </c>
      <c r="K18" t="str">
        <f>IF(COUNTIF($A$2:A18,A18)&gt;1, "Duplicate", "First Occurrence")</f>
        <v>First Occurrence</v>
      </c>
      <c r="L18" t="str">
        <f t="shared" si="1"/>
        <v>Consistent</v>
      </c>
      <c r="M18" t="str">
        <f t="shared" si="2"/>
        <v>On Leave</v>
      </c>
    </row>
    <row r="19" spans="1:13" x14ac:dyDescent="0.35">
      <c r="A19" s="2" t="s">
        <v>65</v>
      </c>
      <c r="B19" s="2" t="s">
        <v>66</v>
      </c>
      <c r="C19" s="2" t="s">
        <v>22</v>
      </c>
      <c r="D19" s="2" t="str">
        <f t="shared" si="3"/>
        <v>IT</v>
      </c>
      <c r="E19" s="2" t="s">
        <v>67</v>
      </c>
      <c r="F19" s="3">
        <v>44988</v>
      </c>
      <c r="G19" s="2" t="s">
        <v>68</v>
      </c>
      <c r="H19" s="2" t="s">
        <v>14</v>
      </c>
      <c r="I19" s="2">
        <v>180000</v>
      </c>
      <c r="J19" s="2" t="s">
        <v>63</v>
      </c>
      <c r="K19" t="str">
        <f>IF(COUNTIF($A$2:A19,A19)&gt;1, "Duplicate", "First Occurrence")</f>
        <v>First Occurrence</v>
      </c>
      <c r="L19" t="str">
        <f t="shared" si="1"/>
        <v>Change</v>
      </c>
      <c r="M19" t="str">
        <f t="shared" si="2"/>
        <v>Active</v>
      </c>
    </row>
    <row r="20" spans="1:13" x14ac:dyDescent="0.35">
      <c r="A20" s="2" t="s">
        <v>69</v>
      </c>
      <c r="B20" s="2" t="s">
        <v>70</v>
      </c>
      <c r="C20" s="2" t="s">
        <v>22</v>
      </c>
      <c r="D20" s="2" t="str">
        <f t="shared" si="3"/>
        <v>IT</v>
      </c>
      <c r="E20" s="2" t="s">
        <v>71</v>
      </c>
      <c r="F20" s="3">
        <v>44211</v>
      </c>
      <c r="G20" s="2" t="s">
        <v>13</v>
      </c>
      <c r="H20" s="2" t="s">
        <v>14</v>
      </c>
      <c r="I20" s="2">
        <v>450000</v>
      </c>
      <c r="J20" s="2" t="s">
        <v>65</v>
      </c>
      <c r="K20" t="str">
        <f>IF(COUNTIF($A$2:A20,A20)&gt;1, "Duplicate", "First Occurrence")</f>
        <v>First Occurrence</v>
      </c>
      <c r="L20" t="str">
        <f t="shared" si="1"/>
        <v>Consistent</v>
      </c>
      <c r="M20" t="str">
        <f t="shared" si="2"/>
        <v>Active</v>
      </c>
    </row>
    <row r="21" spans="1:13" x14ac:dyDescent="0.35">
      <c r="A21" s="2" t="s">
        <v>72</v>
      </c>
      <c r="B21" s="2" t="s">
        <v>73</v>
      </c>
      <c r="C21" s="2" t="s">
        <v>41</v>
      </c>
      <c r="D21" s="2" t="str">
        <f t="shared" si="3"/>
        <v>Human Resources</v>
      </c>
      <c r="E21" s="2" t="s">
        <v>42</v>
      </c>
      <c r="F21" s="3">
        <v>45564</v>
      </c>
      <c r="G21" s="2" t="s">
        <v>13</v>
      </c>
      <c r="H21" s="2" t="s">
        <v>19</v>
      </c>
      <c r="I21" s="2">
        <v>250000</v>
      </c>
      <c r="J21" s="2" t="s">
        <v>69</v>
      </c>
      <c r="K21" t="str">
        <f>IF(COUNTIF($A$2:A21,A21)&gt;1, "Duplicate", "First Occurrence")</f>
        <v>First Occurrence</v>
      </c>
      <c r="L21" t="str">
        <f t="shared" si="1"/>
        <v>Consistent</v>
      </c>
      <c r="M21" t="str">
        <f t="shared" si="2"/>
        <v>Active</v>
      </c>
    </row>
    <row r="22" spans="1:13" x14ac:dyDescent="0.35">
      <c r="A22" s="2" t="s">
        <v>74</v>
      </c>
      <c r="B22" s="2" t="s">
        <v>75</v>
      </c>
      <c r="C22" s="2" t="s">
        <v>33</v>
      </c>
      <c r="D22" s="2" t="str">
        <f t="shared" si="3"/>
        <v>Sales</v>
      </c>
      <c r="E22" s="2" t="s">
        <v>34</v>
      </c>
      <c r="F22" s="3">
        <v>44789</v>
      </c>
      <c r="G22" s="2" t="s">
        <v>13</v>
      </c>
      <c r="H22" s="2" t="s">
        <v>14</v>
      </c>
      <c r="I22" s="2">
        <v>250000</v>
      </c>
      <c r="J22" s="2" t="s">
        <v>72</v>
      </c>
      <c r="K22" t="str">
        <f>IF(COUNTIF($A$2:A22,A22)&gt;1, "Duplicate", "First Occurrence")</f>
        <v>First Occurrence</v>
      </c>
      <c r="L22" t="str">
        <f t="shared" si="1"/>
        <v>Consistent</v>
      </c>
      <c r="M22" t="str">
        <f t="shared" si="2"/>
        <v>Active</v>
      </c>
    </row>
    <row r="23" spans="1:13" x14ac:dyDescent="0.35">
      <c r="A23" s="2" t="s">
        <v>76</v>
      </c>
      <c r="B23" s="2" t="s">
        <v>77</v>
      </c>
      <c r="C23" s="2" t="s">
        <v>22</v>
      </c>
      <c r="D23" s="2" t="str">
        <f t="shared" si="3"/>
        <v>IT</v>
      </c>
      <c r="E23" s="2" t="s">
        <v>23</v>
      </c>
      <c r="F23" s="3">
        <v>45710</v>
      </c>
      <c r="G23" s="2" t="s">
        <v>13</v>
      </c>
      <c r="H23" s="2" t="s">
        <v>14</v>
      </c>
      <c r="I23" s="2">
        <v>300000</v>
      </c>
      <c r="J23" s="2" t="s">
        <v>74</v>
      </c>
      <c r="K23" t="str">
        <f>IF(COUNTIF($A$2:A23,A23)&gt;1, "Duplicate", "First Occurrence")</f>
        <v>First Occurrence</v>
      </c>
      <c r="L23" t="str">
        <f t="shared" si="1"/>
        <v>Consistent</v>
      </c>
      <c r="M23" t="str">
        <f t="shared" si="2"/>
        <v>Active</v>
      </c>
    </row>
    <row r="24" spans="1:13" x14ac:dyDescent="0.35">
      <c r="A24" s="2" t="s">
        <v>78</v>
      </c>
      <c r="B24" s="2" t="s">
        <v>79</v>
      </c>
      <c r="C24" s="2" t="s">
        <v>41</v>
      </c>
      <c r="D24" s="2" t="str">
        <f t="shared" si="3"/>
        <v>Human Resources</v>
      </c>
      <c r="E24" s="2" t="s">
        <v>45</v>
      </c>
      <c r="F24" s="3">
        <v>46060</v>
      </c>
      <c r="G24" s="2" t="s">
        <v>13</v>
      </c>
      <c r="H24" s="2" t="s">
        <v>19</v>
      </c>
      <c r="I24" s="2">
        <v>450000</v>
      </c>
      <c r="J24" s="2" t="s">
        <v>76</v>
      </c>
      <c r="K24" t="str">
        <f>IF(COUNTIF($A$2:A24,A24)&gt;1, "Duplicate", "First Occurrence")</f>
        <v>First Occurrence</v>
      </c>
      <c r="L24" t="str">
        <f t="shared" si="1"/>
        <v>Consistent</v>
      </c>
      <c r="M24" t="str">
        <f t="shared" si="2"/>
        <v>Active</v>
      </c>
    </row>
    <row r="25" spans="1:13" x14ac:dyDescent="0.35">
      <c r="A25" s="2" t="s">
        <v>80</v>
      </c>
      <c r="B25" s="2" t="s">
        <v>81</v>
      </c>
      <c r="C25" s="2" t="s">
        <v>37</v>
      </c>
      <c r="D25" s="2" t="str">
        <f t="shared" si="3"/>
        <v>Customer Support</v>
      </c>
      <c r="E25" s="2" t="s">
        <v>82</v>
      </c>
      <c r="F25" s="3">
        <v>45948</v>
      </c>
      <c r="G25" s="2" t="s">
        <v>13</v>
      </c>
      <c r="H25" s="2" t="s">
        <v>48</v>
      </c>
      <c r="I25" s="2">
        <v>250000</v>
      </c>
      <c r="J25" s="2" t="s">
        <v>78</v>
      </c>
      <c r="K25" t="str">
        <f>IF(COUNTIF($A$2:A25,A25)&gt;1, "Duplicate", "First Occurrence")</f>
        <v>First Occurrence</v>
      </c>
      <c r="L25" t="str">
        <f t="shared" si="1"/>
        <v>Consistent</v>
      </c>
      <c r="M25" t="str">
        <f t="shared" si="2"/>
        <v>Active</v>
      </c>
    </row>
    <row r="26" spans="1:13" x14ac:dyDescent="0.35">
      <c r="A26" s="2" t="s">
        <v>83</v>
      </c>
      <c r="B26" s="2" t="s">
        <v>84</v>
      </c>
      <c r="C26" s="2" t="s">
        <v>33</v>
      </c>
      <c r="D26" s="2" t="str">
        <f t="shared" si="3"/>
        <v>Sales</v>
      </c>
      <c r="E26" s="2" t="s">
        <v>34</v>
      </c>
      <c r="F26" s="3">
        <v>45157</v>
      </c>
      <c r="G26" s="2" t="s">
        <v>30</v>
      </c>
      <c r="H26" s="2" t="s">
        <v>19</v>
      </c>
      <c r="I26" s="2">
        <v>400000</v>
      </c>
      <c r="J26" s="2" t="s">
        <v>80</v>
      </c>
      <c r="K26" t="str">
        <f>IF(COUNTIF($A$2:A26,A26)&gt;1, "Duplicate", "First Occurrence")</f>
        <v>First Occurrence</v>
      </c>
      <c r="L26" t="str">
        <f t="shared" si="1"/>
        <v>Consistent</v>
      </c>
      <c r="M26" t="str">
        <f t="shared" si="2"/>
        <v>On Leave</v>
      </c>
    </row>
    <row r="27" spans="1:13" x14ac:dyDescent="0.35">
      <c r="A27" s="2" t="s">
        <v>85</v>
      </c>
      <c r="B27" s="2" t="s">
        <v>86</v>
      </c>
      <c r="C27" s="2" t="s">
        <v>33</v>
      </c>
      <c r="D27" s="2" t="str">
        <f t="shared" si="3"/>
        <v>Sales</v>
      </c>
      <c r="E27" s="2" t="s">
        <v>87</v>
      </c>
      <c r="F27" s="3">
        <v>45989</v>
      </c>
      <c r="G27" s="2" t="s">
        <v>13</v>
      </c>
      <c r="H27" s="2" t="s">
        <v>19</v>
      </c>
      <c r="I27" s="2">
        <v>450000</v>
      </c>
      <c r="J27" s="2" t="s">
        <v>83</v>
      </c>
      <c r="K27" t="str">
        <f>IF(COUNTIF($A$2:A27,A27)&gt;1, "Duplicate", "First Occurrence")</f>
        <v>First Occurrence</v>
      </c>
      <c r="L27" t="str">
        <f t="shared" si="1"/>
        <v>Consistent</v>
      </c>
      <c r="M27" t="str">
        <f t="shared" si="2"/>
        <v>Active</v>
      </c>
    </row>
    <row r="28" spans="1:13" x14ac:dyDescent="0.35">
      <c r="A28" s="2" t="s">
        <v>88</v>
      </c>
      <c r="B28" s="2" t="s">
        <v>89</v>
      </c>
      <c r="C28" s="2" t="s">
        <v>37</v>
      </c>
      <c r="D28" s="2" t="str">
        <f t="shared" si="3"/>
        <v>Customer Support</v>
      </c>
      <c r="E28" s="2" t="s">
        <v>62</v>
      </c>
      <c r="F28" s="3">
        <v>45067</v>
      </c>
      <c r="G28" s="2" t="s">
        <v>90</v>
      </c>
      <c r="H28" s="2" t="s">
        <v>19</v>
      </c>
      <c r="I28" s="2">
        <v>450000</v>
      </c>
      <c r="J28" s="2" t="s">
        <v>85</v>
      </c>
      <c r="K28" t="str">
        <f>IF(COUNTIF($A$2:A28,A28)&gt;1, "Duplicate", "First Occurrence")</f>
        <v>First Occurrence</v>
      </c>
      <c r="L28" t="str">
        <f t="shared" si="1"/>
        <v>Change</v>
      </c>
      <c r="M28" t="str">
        <f t="shared" si="2"/>
        <v>Active</v>
      </c>
    </row>
    <row r="29" spans="1:13" x14ac:dyDescent="0.35">
      <c r="A29" s="2" t="s">
        <v>91</v>
      </c>
      <c r="B29" s="2" t="s">
        <v>92</v>
      </c>
      <c r="C29" s="2" t="s">
        <v>17</v>
      </c>
      <c r="D29" s="2" t="str">
        <f t="shared" si="3"/>
        <v>Finance</v>
      </c>
      <c r="E29" s="2" t="s">
        <v>93</v>
      </c>
      <c r="F29" s="3">
        <v>45774</v>
      </c>
      <c r="G29" s="2" t="s">
        <v>13</v>
      </c>
      <c r="H29" s="2" t="s">
        <v>19</v>
      </c>
      <c r="I29" s="2">
        <v>500000</v>
      </c>
      <c r="J29" s="2" t="s">
        <v>88</v>
      </c>
      <c r="K29" t="str">
        <f>IF(COUNTIF($A$2:A29,A29)&gt;1, "Duplicate", "First Occurrence")</f>
        <v>First Occurrence</v>
      </c>
      <c r="L29" t="str">
        <f t="shared" si="1"/>
        <v>Consistent</v>
      </c>
      <c r="M29" t="str">
        <f t="shared" si="2"/>
        <v>Active</v>
      </c>
    </row>
    <row r="30" spans="1:13" x14ac:dyDescent="0.35">
      <c r="A30" s="2" t="s">
        <v>94</v>
      </c>
      <c r="B30" s="2" t="s">
        <v>95</v>
      </c>
      <c r="C30" s="2" t="s">
        <v>41</v>
      </c>
      <c r="D30" s="2" t="str">
        <f t="shared" si="3"/>
        <v>Human Resources</v>
      </c>
      <c r="E30" s="2" t="s">
        <v>42</v>
      </c>
      <c r="F30" s="3">
        <v>44760</v>
      </c>
      <c r="G30" s="2" t="s">
        <v>13</v>
      </c>
      <c r="H30" s="2" t="s">
        <v>48</v>
      </c>
      <c r="I30" s="2">
        <v>350000</v>
      </c>
      <c r="J30" s="2" t="s">
        <v>91</v>
      </c>
      <c r="K30" t="str">
        <f>IF(COUNTIF($A$2:A30,A30)&gt;1, "Duplicate", "First Occurrence")</f>
        <v>First Occurrence</v>
      </c>
      <c r="L30" t="str">
        <f t="shared" si="1"/>
        <v>Consistent</v>
      </c>
      <c r="M30" t="str">
        <f t="shared" si="2"/>
        <v>Active</v>
      </c>
    </row>
    <row r="31" spans="1:13" x14ac:dyDescent="0.35">
      <c r="A31" s="2" t="s">
        <v>96</v>
      </c>
      <c r="B31" s="2" t="s">
        <v>97</v>
      </c>
      <c r="C31" s="2" t="s">
        <v>22</v>
      </c>
      <c r="D31" s="2" t="str">
        <f t="shared" si="3"/>
        <v>IT</v>
      </c>
      <c r="E31" s="2" t="s">
        <v>23</v>
      </c>
      <c r="F31" s="3">
        <v>45875</v>
      </c>
      <c r="G31" s="2" t="s">
        <v>30</v>
      </c>
      <c r="H31" s="2" t="s">
        <v>14</v>
      </c>
      <c r="I31" s="2">
        <v>500000</v>
      </c>
      <c r="J31" s="2" t="s">
        <v>94</v>
      </c>
      <c r="K31" t="str">
        <f>IF(COUNTIF($A$2:A31,A31)&gt;1, "Duplicate", "First Occurrence")</f>
        <v>First Occurrence</v>
      </c>
      <c r="L31" t="str">
        <f t="shared" si="1"/>
        <v>Consistent</v>
      </c>
      <c r="M31" t="str">
        <f t="shared" si="2"/>
        <v>On Leave</v>
      </c>
    </row>
    <row r="32" spans="1:13" x14ac:dyDescent="0.35">
      <c r="A32" s="2" t="s">
        <v>98</v>
      </c>
      <c r="B32" s="2" t="s">
        <v>99</v>
      </c>
      <c r="C32" s="2" t="s">
        <v>33</v>
      </c>
      <c r="D32" s="2" t="str">
        <f t="shared" si="3"/>
        <v>Sales</v>
      </c>
      <c r="E32" s="2" t="s">
        <v>100</v>
      </c>
      <c r="F32" s="3">
        <v>45463</v>
      </c>
      <c r="G32" s="2" t="s">
        <v>13</v>
      </c>
      <c r="H32" s="2" t="s">
        <v>48</v>
      </c>
      <c r="I32" s="2">
        <v>220000</v>
      </c>
      <c r="J32" s="2" t="s">
        <v>96</v>
      </c>
      <c r="K32" t="str">
        <f>IF(COUNTIF($A$2:A32,A32)&gt;1, "Duplicate", "First Occurrence")</f>
        <v>First Occurrence</v>
      </c>
      <c r="L32" t="str">
        <f t="shared" si="1"/>
        <v>Consistent</v>
      </c>
      <c r="M32" t="str">
        <f t="shared" si="2"/>
        <v>Active</v>
      </c>
    </row>
    <row r="33" spans="1:13" x14ac:dyDescent="0.35">
      <c r="A33" s="2" t="s">
        <v>101</v>
      </c>
      <c r="B33" s="2" t="s">
        <v>102</v>
      </c>
      <c r="C33" s="2" t="s">
        <v>22</v>
      </c>
      <c r="D33" s="2" t="str">
        <f t="shared" si="3"/>
        <v>IT</v>
      </c>
      <c r="E33" s="2" t="s">
        <v>71</v>
      </c>
      <c r="F33" s="3">
        <v>45794</v>
      </c>
      <c r="G33" s="2" t="s">
        <v>30</v>
      </c>
      <c r="H33" s="2" t="s">
        <v>48</v>
      </c>
      <c r="I33" s="2">
        <v>300000</v>
      </c>
      <c r="J33" s="2" t="s">
        <v>98</v>
      </c>
      <c r="K33" t="str">
        <f>IF(COUNTIF($A$2:A33,A33)&gt;1, "Duplicate", "First Occurrence")</f>
        <v>First Occurrence</v>
      </c>
      <c r="L33" t="str">
        <f t="shared" si="1"/>
        <v>Consistent</v>
      </c>
      <c r="M33" t="str">
        <f t="shared" si="2"/>
        <v>On Leave</v>
      </c>
    </row>
    <row r="34" spans="1:13" x14ac:dyDescent="0.35">
      <c r="A34" s="2" t="s">
        <v>103</v>
      </c>
      <c r="B34" s="2" t="s">
        <v>104</v>
      </c>
      <c r="C34" s="2" t="s">
        <v>11</v>
      </c>
      <c r="D34" s="2" t="str">
        <f t="shared" si="3"/>
        <v>Operations</v>
      </c>
      <c r="E34" s="2" t="s">
        <v>27</v>
      </c>
      <c r="F34" s="3">
        <v>45840</v>
      </c>
      <c r="G34" s="2" t="s">
        <v>24</v>
      </c>
      <c r="H34" s="2" t="s">
        <v>19</v>
      </c>
      <c r="I34" s="2">
        <v>500000</v>
      </c>
      <c r="J34" s="2" t="s">
        <v>101</v>
      </c>
      <c r="K34" t="str">
        <f>IF(COUNTIF($A$2:A34,A34)&gt;1, "Duplicate", "First Occurrence")</f>
        <v>First Occurrence</v>
      </c>
      <c r="L34" t="str">
        <f t="shared" si="1"/>
        <v>Consistent</v>
      </c>
      <c r="M34" t="str">
        <f t="shared" si="2"/>
        <v>Inactive</v>
      </c>
    </row>
    <row r="35" spans="1:13" x14ac:dyDescent="0.35">
      <c r="A35" s="2" t="s">
        <v>105</v>
      </c>
      <c r="B35" s="2" t="s">
        <v>106</v>
      </c>
      <c r="C35" s="2" t="s">
        <v>17</v>
      </c>
      <c r="D35" s="2" t="str">
        <f t="shared" si="3"/>
        <v>Finance</v>
      </c>
      <c r="E35" s="2" t="s">
        <v>93</v>
      </c>
      <c r="F35" s="3">
        <v>45568</v>
      </c>
      <c r="G35" s="2" t="s">
        <v>24</v>
      </c>
      <c r="H35" s="2" t="s">
        <v>14</v>
      </c>
      <c r="I35" s="2">
        <v>180000</v>
      </c>
      <c r="J35" s="2" t="s">
        <v>103</v>
      </c>
      <c r="K35" t="str">
        <f>IF(COUNTIF($A$2:A35,A35)&gt;1, "Duplicate", "First Occurrence")</f>
        <v>First Occurrence</v>
      </c>
      <c r="L35" t="str">
        <f t="shared" si="1"/>
        <v>Consistent</v>
      </c>
      <c r="M35" t="str">
        <f t="shared" si="2"/>
        <v>Inactive</v>
      </c>
    </row>
    <row r="36" spans="1:13" x14ac:dyDescent="0.35">
      <c r="A36" s="2" t="s">
        <v>107</v>
      </c>
      <c r="B36" s="2" t="s">
        <v>108</v>
      </c>
      <c r="C36" s="2" t="s">
        <v>41</v>
      </c>
      <c r="D36" s="2" t="str">
        <f t="shared" si="3"/>
        <v>Human Resources</v>
      </c>
      <c r="E36" s="2" t="s">
        <v>45</v>
      </c>
      <c r="F36" s="3">
        <v>45503</v>
      </c>
      <c r="G36" s="2" t="s">
        <v>13</v>
      </c>
      <c r="H36" s="2" t="s">
        <v>14</v>
      </c>
      <c r="I36" s="2">
        <v>180000</v>
      </c>
      <c r="J36" s="2" t="s">
        <v>105</v>
      </c>
      <c r="K36" t="str">
        <f>IF(COUNTIF($A$2:A36,A36)&gt;1, "Duplicate", "First Occurrence")</f>
        <v>First Occurrence</v>
      </c>
      <c r="L36" t="str">
        <f t="shared" si="1"/>
        <v>Consistent</v>
      </c>
      <c r="M36" t="str">
        <f t="shared" si="2"/>
        <v>Active</v>
      </c>
    </row>
    <row r="37" spans="1:13" x14ac:dyDescent="0.35">
      <c r="A37" s="2" t="s">
        <v>109</v>
      </c>
      <c r="B37" s="2" t="s">
        <v>110</v>
      </c>
      <c r="C37" s="2" t="s">
        <v>33</v>
      </c>
      <c r="D37" s="2" t="str">
        <f t="shared" si="3"/>
        <v>Sales</v>
      </c>
      <c r="E37" s="2" t="s">
        <v>100</v>
      </c>
      <c r="F37" s="3">
        <v>45579</v>
      </c>
      <c r="G37" s="2" t="s">
        <v>13</v>
      </c>
      <c r="H37" s="2" t="s">
        <v>14</v>
      </c>
      <c r="I37" s="2">
        <v>400000</v>
      </c>
      <c r="J37" s="2" t="s">
        <v>107</v>
      </c>
      <c r="K37" t="str">
        <f>IF(COUNTIF($A$2:A37,A37)&gt;1, "Duplicate", "First Occurrence")</f>
        <v>First Occurrence</v>
      </c>
      <c r="L37" t="str">
        <f t="shared" si="1"/>
        <v>Consistent</v>
      </c>
      <c r="M37" t="str">
        <f t="shared" si="2"/>
        <v>Active</v>
      </c>
    </row>
    <row r="38" spans="1:13" x14ac:dyDescent="0.35">
      <c r="A38" s="2" t="s">
        <v>111</v>
      </c>
      <c r="B38" s="2" t="s">
        <v>112</v>
      </c>
      <c r="C38" s="2" t="s">
        <v>22</v>
      </c>
      <c r="D38" s="2" t="str">
        <f t="shared" si="3"/>
        <v>IT</v>
      </c>
      <c r="E38" s="2" t="s">
        <v>23</v>
      </c>
      <c r="F38" s="3">
        <v>45445</v>
      </c>
      <c r="G38" s="2" t="s">
        <v>13</v>
      </c>
      <c r="H38" s="2" t="s">
        <v>19</v>
      </c>
      <c r="I38" s="2">
        <v>250000</v>
      </c>
      <c r="J38" s="2" t="s">
        <v>109</v>
      </c>
      <c r="K38" t="str">
        <f>IF(COUNTIF($A$2:A38,A38)&gt;1, "Duplicate", "First Occurrence")</f>
        <v>First Occurrence</v>
      </c>
      <c r="L38" t="str">
        <f t="shared" si="1"/>
        <v>Consistent</v>
      </c>
      <c r="M38" t="str">
        <f t="shared" si="2"/>
        <v>Active</v>
      </c>
    </row>
    <row r="39" spans="1:13" x14ac:dyDescent="0.35">
      <c r="A39" s="2" t="s">
        <v>113</v>
      </c>
      <c r="B39" s="2" t="s">
        <v>114</v>
      </c>
      <c r="C39" s="2" t="s">
        <v>37</v>
      </c>
      <c r="D39" s="2" t="str">
        <f t="shared" si="3"/>
        <v>Customer Support</v>
      </c>
      <c r="E39" s="2" t="s">
        <v>82</v>
      </c>
      <c r="F39" s="3">
        <v>45892</v>
      </c>
      <c r="G39" s="2" t="s">
        <v>13</v>
      </c>
      <c r="H39" s="2" t="s">
        <v>14</v>
      </c>
      <c r="I39" s="2">
        <v>400000</v>
      </c>
      <c r="J39" s="2" t="s">
        <v>111</v>
      </c>
      <c r="K39" t="str">
        <f>IF(COUNTIF($A$2:A39,A39)&gt;1, "Duplicate", "First Occurrence")</f>
        <v>First Occurrence</v>
      </c>
      <c r="L39" t="str">
        <f t="shared" si="1"/>
        <v>Consistent</v>
      </c>
      <c r="M39" t="str">
        <f t="shared" si="2"/>
        <v>Active</v>
      </c>
    </row>
    <row r="40" spans="1:13" x14ac:dyDescent="0.35">
      <c r="A40" s="2" t="s">
        <v>115</v>
      </c>
      <c r="B40" s="2" t="s">
        <v>116</v>
      </c>
      <c r="C40" s="2" t="s">
        <v>41</v>
      </c>
      <c r="D40" s="2" t="str">
        <f t="shared" si="3"/>
        <v>Human Resources</v>
      </c>
      <c r="E40" s="2" t="s">
        <v>45</v>
      </c>
      <c r="F40" s="3">
        <v>44638</v>
      </c>
      <c r="G40" s="2" t="s">
        <v>13</v>
      </c>
      <c r="H40" s="2" t="s">
        <v>19</v>
      </c>
      <c r="I40" s="2">
        <v>180000</v>
      </c>
      <c r="J40" s="2" t="s">
        <v>113</v>
      </c>
      <c r="K40" t="str">
        <f>IF(COUNTIF($A$2:A40,A40)&gt;1, "Duplicate", "First Occurrence")</f>
        <v>First Occurrence</v>
      </c>
      <c r="L40" t="str">
        <f t="shared" si="1"/>
        <v>Consistent</v>
      </c>
      <c r="M40" t="str">
        <f t="shared" si="2"/>
        <v>Active</v>
      </c>
    </row>
    <row r="41" spans="1:13" x14ac:dyDescent="0.35">
      <c r="A41" s="2" t="s">
        <v>117</v>
      </c>
      <c r="B41" s="2" t="s">
        <v>118</v>
      </c>
      <c r="C41" s="2" t="s">
        <v>22</v>
      </c>
      <c r="D41" s="2" t="str">
        <f t="shared" si="3"/>
        <v>IT</v>
      </c>
      <c r="E41" s="2" t="s">
        <v>71</v>
      </c>
      <c r="F41" s="3">
        <v>45845</v>
      </c>
      <c r="G41" s="2" t="s">
        <v>13</v>
      </c>
      <c r="H41" s="2" t="s">
        <v>14</v>
      </c>
      <c r="I41" s="2">
        <v>220000</v>
      </c>
      <c r="J41" s="2" t="s">
        <v>115</v>
      </c>
      <c r="K41" t="str">
        <f>IF(COUNTIF($A$2:A41,A41)&gt;1, "Duplicate", "First Occurrence")</f>
        <v>First Occurrence</v>
      </c>
      <c r="L41" t="str">
        <f t="shared" si="1"/>
        <v>Consistent</v>
      </c>
      <c r="M41" t="str">
        <f t="shared" si="2"/>
        <v>Active</v>
      </c>
    </row>
    <row r="42" spans="1:13" x14ac:dyDescent="0.35">
      <c r="A42" s="2" t="s">
        <v>119</v>
      </c>
      <c r="B42" s="2" t="s">
        <v>120</v>
      </c>
      <c r="C42" s="2" t="s">
        <v>17</v>
      </c>
      <c r="D42" s="2" t="str">
        <f t="shared" si="3"/>
        <v>Finance</v>
      </c>
      <c r="E42" s="2" t="s">
        <v>57</v>
      </c>
      <c r="F42" s="3">
        <v>44416</v>
      </c>
      <c r="G42" s="2" t="s">
        <v>30</v>
      </c>
      <c r="H42" s="2" t="s">
        <v>14</v>
      </c>
      <c r="I42" s="2">
        <v>180000</v>
      </c>
      <c r="J42" s="2" t="s">
        <v>117</v>
      </c>
      <c r="K42" t="str">
        <f>IF(COUNTIF($A$2:A42,A42)&gt;1, "Duplicate", "First Occurrence")</f>
        <v>First Occurrence</v>
      </c>
      <c r="L42" t="str">
        <f t="shared" si="1"/>
        <v>Consistent</v>
      </c>
      <c r="M42" t="str">
        <f t="shared" si="2"/>
        <v>On Leave</v>
      </c>
    </row>
    <row r="43" spans="1:13" x14ac:dyDescent="0.35">
      <c r="A43" s="2" t="s">
        <v>121</v>
      </c>
      <c r="B43" s="2" t="s">
        <v>122</v>
      </c>
      <c r="C43" s="2" t="s">
        <v>123</v>
      </c>
      <c r="D43" s="2" t="str">
        <f t="shared" si="3"/>
        <v>Sales</v>
      </c>
      <c r="E43" s="2" t="s">
        <v>100</v>
      </c>
      <c r="F43" s="3">
        <v>45858</v>
      </c>
      <c r="G43" s="2" t="s">
        <v>30</v>
      </c>
      <c r="H43" s="2" t="s">
        <v>48</v>
      </c>
      <c r="I43" s="2">
        <v>500000</v>
      </c>
      <c r="J43" s="2" t="s">
        <v>119</v>
      </c>
      <c r="K43" t="str">
        <f>IF(COUNTIF($A$2:A43,A43)&gt;1, "Duplicate", "First Occurrence")</f>
        <v>First Occurrence</v>
      </c>
      <c r="L43" t="str">
        <f t="shared" si="1"/>
        <v>Consistent</v>
      </c>
      <c r="M43" t="str">
        <f t="shared" si="2"/>
        <v>On Leave</v>
      </c>
    </row>
    <row r="44" spans="1:13" x14ac:dyDescent="0.35">
      <c r="A44" s="2" t="s">
        <v>124</v>
      </c>
      <c r="B44" s="2" t="s">
        <v>125</v>
      </c>
      <c r="C44" s="2" t="s">
        <v>37</v>
      </c>
      <c r="D44" s="2" t="str">
        <f t="shared" si="3"/>
        <v>Customer Support</v>
      </c>
      <c r="E44" s="2" t="s">
        <v>62</v>
      </c>
      <c r="F44" s="3">
        <v>45636</v>
      </c>
      <c r="G44" s="2" t="s">
        <v>13</v>
      </c>
      <c r="H44" s="2" t="s">
        <v>19</v>
      </c>
      <c r="I44" s="2">
        <v>250000</v>
      </c>
      <c r="J44" s="2" t="s">
        <v>121</v>
      </c>
      <c r="K44" t="str">
        <f>IF(COUNTIF($A$2:A44,A44)&gt;1, "Duplicate", "First Occurrence")</f>
        <v>First Occurrence</v>
      </c>
      <c r="L44" t="str">
        <f t="shared" si="1"/>
        <v>Consistent</v>
      </c>
      <c r="M44" t="str">
        <f t="shared" si="2"/>
        <v>Active</v>
      </c>
    </row>
    <row r="45" spans="1:13" x14ac:dyDescent="0.35">
      <c r="A45" s="2" t="s">
        <v>126</v>
      </c>
      <c r="B45" s="2" t="s">
        <v>127</v>
      </c>
      <c r="C45" s="2" t="s">
        <v>33</v>
      </c>
      <c r="D45" s="2" t="str">
        <f t="shared" si="3"/>
        <v>Sales</v>
      </c>
      <c r="E45" s="2" t="s">
        <v>34</v>
      </c>
      <c r="F45" s="3">
        <v>44597</v>
      </c>
      <c r="G45" s="2" t="s">
        <v>24</v>
      </c>
      <c r="H45" s="2" t="s">
        <v>14</v>
      </c>
      <c r="I45" s="2">
        <v>300000</v>
      </c>
      <c r="J45" s="2" t="s">
        <v>124</v>
      </c>
      <c r="K45" t="str">
        <f>IF(COUNTIF($A$2:A45,A45)&gt;1, "Duplicate", "First Occurrence")</f>
        <v>First Occurrence</v>
      </c>
      <c r="L45" t="str">
        <f t="shared" si="1"/>
        <v>Consistent</v>
      </c>
      <c r="M45" t="str">
        <f t="shared" si="2"/>
        <v>Inactive</v>
      </c>
    </row>
    <row r="46" spans="1:13" x14ac:dyDescent="0.35">
      <c r="A46" s="2" t="s">
        <v>128</v>
      </c>
      <c r="B46" s="2" t="s">
        <v>129</v>
      </c>
      <c r="C46" s="2" t="s">
        <v>17</v>
      </c>
      <c r="D46" s="2" t="str">
        <f t="shared" si="3"/>
        <v>Finance</v>
      </c>
      <c r="E46" s="2" t="s">
        <v>57</v>
      </c>
      <c r="F46" s="3">
        <v>44394</v>
      </c>
      <c r="G46" s="2" t="s">
        <v>13</v>
      </c>
      <c r="H46" s="2" t="s">
        <v>19</v>
      </c>
      <c r="I46" s="2">
        <v>500000</v>
      </c>
      <c r="J46" s="2" t="s">
        <v>126</v>
      </c>
      <c r="K46" t="str">
        <f>IF(COUNTIF($A$2:A46,A46)&gt;1, "Duplicate", "First Occurrence")</f>
        <v>First Occurrence</v>
      </c>
      <c r="L46" t="str">
        <f t="shared" si="1"/>
        <v>Consistent</v>
      </c>
      <c r="M46" t="str">
        <f t="shared" si="2"/>
        <v>Active</v>
      </c>
    </row>
    <row r="47" spans="1:13" x14ac:dyDescent="0.35">
      <c r="A47" s="2" t="s">
        <v>130</v>
      </c>
      <c r="B47" s="2" t="s">
        <v>131</v>
      </c>
      <c r="C47" s="2" t="s">
        <v>41</v>
      </c>
      <c r="D47" s="2" t="str">
        <f t="shared" si="3"/>
        <v>Human Resources</v>
      </c>
      <c r="E47" s="2" t="s">
        <v>132</v>
      </c>
      <c r="F47" s="3">
        <v>45421</v>
      </c>
      <c r="G47" s="2" t="s">
        <v>24</v>
      </c>
      <c r="H47" s="2" t="s">
        <v>14</v>
      </c>
      <c r="I47" s="2">
        <v>250000</v>
      </c>
      <c r="J47" s="2" t="s">
        <v>128</v>
      </c>
      <c r="K47" t="str">
        <f>IF(COUNTIF($A$2:A47,A47)&gt;1, "Duplicate", "First Occurrence")</f>
        <v>First Occurrence</v>
      </c>
      <c r="L47" t="str">
        <f t="shared" si="1"/>
        <v>Consistent</v>
      </c>
      <c r="M47" t="str">
        <f t="shared" si="2"/>
        <v>Inactive</v>
      </c>
    </row>
    <row r="48" spans="1:13" x14ac:dyDescent="0.35">
      <c r="A48" s="2" t="s">
        <v>133</v>
      </c>
      <c r="B48" s="2" t="s">
        <v>134</v>
      </c>
      <c r="C48" s="2" t="s">
        <v>11</v>
      </c>
      <c r="D48" s="2" t="str">
        <f t="shared" si="3"/>
        <v>Operations</v>
      </c>
      <c r="E48" s="2" t="s">
        <v>12</v>
      </c>
      <c r="F48" s="3">
        <v>44960</v>
      </c>
      <c r="G48" s="2" t="s">
        <v>13</v>
      </c>
      <c r="H48" s="2" t="s">
        <v>19</v>
      </c>
      <c r="I48" s="2">
        <v>220000</v>
      </c>
      <c r="J48" s="2" t="s">
        <v>130</v>
      </c>
      <c r="K48" t="str">
        <f>IF(COUNTIF($A$2:A48,A48)&gt;1, "Duplicate", "First Occurrence")</f>
        <v>First Occurrence</v>
      </c>
      <c r="L48" t="str">
        <f t="shared" si="1"/>
        <v>Consistent</v>
      </c>
      <c r="M48" t="str">
        <f t="shared" si="2"/>
        <v>Active</v>
      </c>
    </row>
    <row r="49" spans="1:13" x14ac:dyDescent="0.35">
      <c r="A49" s="2" t="s">
        <v>135</v>
      </c>
      <c r="B49" s="2" t="s">
        <v>136</v>
      </c>
      <c r="C49" s="2" t="s">
        <v>33</v>
      </c>
      <c r="D49" s="2" t="str">
        <f t="shared" si="3"/>
        <v>Sales</v>
      </c>
      <c r="E49" s="2" t="s">
        <v>34</v>
      </c>
      <c r="F49" s="3">
        <v>45731</v>
      </c>
      <c r="G49" s="2" t="s">
        <v>13</v>
      </c>
      <c r="H49" s="2" t="s">
        <v>19</v>
      </c>
      <c r="I49" s="2">
        <v>300000</v>
      </c>
      <c r="J49" s="2" t="s">
        <v>133</v>
      </c>
      <c r="K49" t="str">
        <f>IF(COUNTIF($A$2:A49,A49)&gt;1, "Duplicate", "First Occurrence")</f>
        <v>First Occurrence</v>
      </c>
      <c r="L49" t="str">
        <f t="shared" si="1"/>
        <v>Consistent</v>
      </c>
      <c r="M49" t="str">
        <f t="shared" si="2"/>
        <v>Active</v>
      </c>
    </row>
    <row r="50" spans="1:13" x14ac:dyDescent="0.35">
      <c r="A50" s="2" t="s">
        <v>137</v>
      </c>
      <c r="B50" s="2" t="s">
        <v>138</v>
      </c>
      <c r="C50" s="2" t="s">
        <v>41</v>
      </c>
      <c r="D50" s="2" t="str">
        <f t="shared" si="3"/>
        <v>Human Resources</v>
      </c>
      <c r="E50" s="2" t="s">
        <v>132</v>
      </c>
      <c r="F50" s="3">
        <v>45125</v>
      </c>
      <c r="G50" s="2" t="s">
        <v>13</v>
      </c>
      <c r="H50" s="2" t="s">
        <v>14</v>
      </c>
      <c r="I50" s="2">
        <v>250000</v>
      </c>
      <c r="J50" s="2" t="s">
        <v>135</v>
      </c>
      <c r="K50" t="str">
        <f>IF(COUNTIF($A$2:A50,A50)&gt;1, "Duplicate", "First Occurrence")</f>
        <v>First Occurrence</v>
      </c>
      <c r="L50" t="str">
        <f t="shared" si="1"/>
        <v>Consistent</v>
      </c>
      <c r="M50" t="str">
        <f t="shared" si="2"/>
        <v>Active</v>
      </c>
    </row>
    <row r="51" spans="1:13" x14ac:dyDescent="0.35">
      <c r="A51" s="2" t="s">
        <v>139</v>
      </c>
      <c r="B51" s="2" t="s">
        <v>140</v>
      </c>
      <c r="C51" s="2" t="s">
        <v>11</v>
      </c>
      <c r="D51" s="2" t="str">
        <f t="shared" si="3"/>
        <v>Operations</v>
      </c>
      <c r="E51" s="2" t="s">
        <v>141</v>
      </c>
      <c r="F51" s="3">
        <v>46173</v>
      </c>
      <c r="G51" s="2" t="s">
        <v>13</v>
      </c>
      <c r="H51" s="2" t="s">
        <v>19</v>
      </c>
      <c r="I51" s="2">
        <v>450000</v>
      </c>
      <c r="J51" s="2" t="s">
        <v>137</v>
      </c>
      <c r="K51" t="str">
        <f>IF(COUNTIF($A$2:A51,A51)&gt;1, "Duplicate", "First Occurrence")</f>
        <v>First Occurrence</v>
      </c>
      <c r="L51" t="str">
        <f t="shared" si="1"/>
        <v>Consistent</v>
      </c>
      <c r="M51" t="str">
        <f t="shared" si="2"/>
        <v>Active</v>
      </c>
    </row>
    <row r="52" spans="1:13" x14ac:dyDescent="0.35">
      <c r="A52" s="2" t="s">
        <v>142</v>
      </c>
      <c r="B52" s="2" t="s">
        <v>143</v>
      </c>
      <c r="C52" s="2" t="s">
        <v>37</v>
      </c>
      <c r="D52" s="2" t="str">
        <f t="shared" si="3"/>
        <v>Customer Support</v>
      </c>
      <c r="E52" s="2" t="s">
        <v>62</v>
      </c>
      <c r="F52" s="3">
        <v>45518</v>
      </c>
      <c r="G52" s="2" t="s">
        <v>13</v>
      </c>
      <c r="H52" s="2" t="s">
        <v>48</v>
      </c>
      <c r="I52" s="2">
        <v>500000</v>
      </c>
      <c r="J52" s="2" t="s">
        <v>139</v>
      </c>
      <c r="K52" t="str">
        <f>IF(COUNTIF($A$2:A52,A52)&gt;1, "Duplicate", "First Occurrence")</f>
        <v>First Occurrence</v>
      </c>
      <c r="L52" t="str">
        <f t="shared" si="1"/>
        <v>Consistent</v>
      </c>
      <c r="M52" t="str">
        <f t="shared" si="2"/>
        <v>Active</v>
      </c>
    </row>
    <row r="53" spans="1:13" x14ac:dyDescent="0.35">
      <c r="A53" s="2" t="s">
        <v>144</v>
      </c>
      <c r="B53" s="2" t="s">
        <v>145</v>
      </c>
      <c r="C53" s="2" t="s">
        <v>41</v>
      </c>
      <c r="D53" s="2" t="str">
        <f t="shared" si="3"/>
        <v>Human Resources</v>
      </c>
      <c r="E53" s="2" t="s">
        <v>42</v>
      </c>
      <c r="F53" s="3">
        <v>45792</v>
      </c>
      <c r="G53" s="2" t="s">
        <v>13</v>
      </c>
      <c r="H53" s="2" t="s">
        <v>14</v>
      </c>
      <c r="I53" s="2">
        <v>500000</v>
      </c>
      <c r="J53" s="2" t="s">
        <v>142</v>
      </c>
      <c r="K53" t="str">
        <f>IF(COUNTIF($A$2:A53,A53)&gt;1, "Duplicate", "First Occurrence")</f>
        <v>First Occurrence</v>
      </c>
      <c r="L53" t="str">
        <f t="shared" si="1"/>
        <v>Consistent</v>
      </c>
      <c r="M53" t="str">
        <f t="shared" si="2"/>
        <v>Active</v>
      </c>
    </row>
    <row r="54" spans="1:13" x14ac:dyDescent="0.35">
      <c r="A54" s="2" t="s">
        <v>146</v>
      </c>
      <c r="B54" s="2" t="s">
        <v>147</v>
      </c>
      <c r="C54" s="2" t="s">
        <v>37</v>
      </c>
      <c r="D54" s="2" t="str">
        <f t="shared" si="3"/>
        <v>Customer Support</v>
      </c>
      <c r="E54" s="2" t="s">
        <v>82</v>
      </c>
      <c r="F54" s="3">
        <v>45872</v>
      </c>
      <c r="G54" s="2" t="s">
        <v>30</v>
      </c>
      <c r="H54" s="2" t="s">
        <v>19</v>
      </c>
      <c r="I54" s="2">
        <v>450000</v>
      </c>
      <c r="J54" s="2" t="s">
        <v>144</v>
      </c>
      <c r="K54" t="str">
        <f>IF(COUNTIF($A$2:A54,A54)&gt;1, "Duplicate", "First Occurrence")</f>
        <v>First Occurrence</v>
      </c>
      <c r="L54" t="str">
        <f t="shared" si="1"/>
        <v>Consistent</v>
      </c>
      <c r="M54" t="str">
        <f t="shared" si="2"/>
        <v>On Leave</v>
      </c>
    </row>
    <row r="55" spans="1:13" x14ac:dyDescent="0.35">
      <c r="A55" s="2" t="s">
        <v>148</v>
      </c>
      <c r="B55" s="2" t="s">
        <v>149</v>
      </c>
      <c r="C55" s="2" t="s">
        <v>41</v>
      </c>
      <c r="D55" s="2" t="str">
        <f t="shared" si="3"/>
        <v>Human Resources</v>
      </c>
      <c r="E55" s="2" t="s">
        <v>132</v>
      </c>
      <c r="F55" s="3">
        <v>45453</v>
      </c>
      <c r="G55" s="2" t="s">
        <v>150</v>
      </c>
      <c r="H55" s="2" t="s">
        <v>19</v>
      </c>
      <c r="I55" s="2">
        <v>300000</v>
      </c>
      <c r="J55" s="2" t="s">
        <v>146</v>
      </c>
      <c r="K55" t="str">
        <f>IF(COUNTIF($A$2:A55,A55)&gt;1, "Duplicate", "First Occurrence")</f>
        <v>First Occurrence</v>
      </c>
      <c r="L55" t="str">
        <f t="shared" si="1"/>
        <v>Change</v>
      </c>
      <c r="M55" t="str">
        <f t="shared" si="2"/>
        <v>On Leave</v>
      </c>
    </row>
    <row r="56" spans="1:13" x14ac:dyDescent="0.35">
      <c r="A56" s="2" t="s">
        <v>151</v>
      </c>
      <c r="B56" s="2" t="s">
        <v>152</v>
      </c>
      <c r="C56" s="2" t="s">
        <v>37</v>
      </c>
      <c r="D56" s="2" t="str">
        <f t="shared" si="3"/>
        <v>Customer Support</v>
      </c>
      <c r="E56" s="2" t="s">
        <v>82</v>
      </c>
      <c r="F56" s="3">
        <v>45340</v>
      </c>
      <c r="G56" s="2" t="s">
        <v>13</v>
      </c>
      <c r="H56" s="2" t="s">
        <v>19</v>
      </c>
      <c r="I56" s="2">
        <v>180000</v>
      </c>
      <c r="J56" s="2" t="s">
        <v>148</v>
      </c>
      <c r="K56" t="str">
        <f>IF(COUNTIF($A$2:A56,A56)&gt;1, "Duplicate", "First Occurrence")</f>
        <v>First Occurrence</v>
      </c>
      <c r="L56" t="str">
        <f t="shared" si="1"/>
        <v>Consistent</v>
      </c>
      <c r="M56" t="str">
        <f t="shared" si="2"/>
        <v>Active</v>
      </c>
    </row>
    <row r="57" spans="1:13" x14ac:dyDescent="0.35">
      <c r="A57" s="2" t="s">
        <v>153</v>
      </c>
      <c r="B57" s="2" t="s">
        <v>154</v>
      </c>
      <c r="C57" s="2" t="s">
        <v>11</v>
      </c>
      <c r="D57" s="2" t="str">
        <f t="shared" si="3"/>
        <v>Operations</v>
      </c>
      <c r="E57" s="2" t="s">
        <v>27</v>
      </c>
      <c r="F57" s="3">
        <v>45642</v>
      </c>
      <c r="G57" s="2" t="s">
        <v>13</v>
      </c>
      <c r="H57" s="2" t="s">
        <v>48</v>
      </c>
      <c r="I57" s="2">
        <v>180000</v>
      </c>
      <c r="J57" s="2" t="s">
        <v>151</v>
      </c>
      <c r="K57" t="str">
        <f>IF(COUNTIF($A$2:A57,A57)&gt;1, "Duplicate", "First Occurrence")</f>
        <v>First Occurrence</v>
      </c>
      <c r="L57" t="str">
        <f t="shared" si="1"/>
        <v>Consistent</v>
      </c>
      <c r="M57" t="str">
        <f t="shared" si="2"/>
        <v>Active</v>
      </c>
    </row>
    <row r="58" spans="1:13" x14ac:dyDescent="0.35">
      <c r="A58" s="2" t="s">
        <v>155</v>
      </c>
      <c r="B58" s="2" t="s">
        <v>156</v>
      </c>
      <c r="C58" s="2" t="s">
        <v>33</v>
      </c>
      <c r="D58" s="2" t="str">
        <f t="shared" si="3"/>
        <v>Sales</v>
      </c>
      <c r="E58" s="2" t="s">
        <v>87</v>
      </c>
      <c r="F58" s="3">
        <v>44349</v>
      </c>
      <c r="G58" s="2" t="s">
        <v>13</v>
      </c>
      <c r="H58" s="2" t="s">
        <v>48</v>
      </c>
      <c r="I58" s="2">
        <v>220000</v>
      </c>
      <c r="J58" s="2" t="s">
        <v>153</v>
      </c>
      <c r="K58" t="str">
        <f>IF(COUNTIF($A$2:A58,A58)&gt;1, "Duplicate", "First Occurrence")</f>
        <v>First Occurrence</v>
      </c>
      <c r="L58" t="str">
        <f t="shared" si="1"/>
        <v>Consistent</v>
      </c>
      <c r="M58" t="str">
        <f t="shared" si="2"/>
        <v>Active</v>
      </c>
    </row>
    <row r="59" spans="1:13" x14ac:dyDescent="0.35">
      <c r="A59" s="2" t="s">
        <v>157</v>
      </c>
      <c r="B59" s="2" t="s">
        <v>158</v>
      </c>
      <c r="C59" s="2" t="s">
        <v>17</v>
      </c>
      <c r="D59" s="2" t="str">
        <f t="shared" si="3"/>
        <v>Finance</v>
      </c>
      <c r="E59" s="2" t="s">
        <v>18</v>
      </c>
      <c r="F59" s="3">
        <v>45018</v>
      </c>
      <c r="G59" s="2" t="s">
        <v>30</v>
      </c>
      <c r="H59" s="2" t="s">
        <v>14</v>
      </c>
      <c r="I59" s="2">
        <v>300000</v>
      </c>
      <c r="J59" s="2" t="s">
        <v>155</v>
      </c>
      <c r="K59" t="str">
        <f>IF(COUNTIF($A$2:A59,A59)&gt;1, "Duplicate", "First Occurrence")</f>
        <v>First Occurrence</v>
      </c>
      <c r="L59" t="str">
        <f t="shared" si="1"/>
        <v>Consistent</v>
      </c>
      <c r="M59" t="str">
        <f t="shared" si="2"/>
        <v>On Leave</v>
      </c>
    </row>
    <row r="60" spans="1:13" x14ac:dyDescent="0.35">
      <c r="A60" s="2" t="s">
        <v>159</v>
      </c>
      <c r="B60" s="2" t="s">
        <v>160</v>
      </c>
      <c r="C60" s="2" t="s">
        <v>41</v>
      </c>
      <c r="D60" s="2" t="str">
        <f t="shared" si="3"/>
        <v>Human Resources</v>
      </c>
      <c r="E60" s="2" t="s">
        <v>42</v>
      </c>
      <c r="F60" s="3">
        <v>45800</v>
      </c>
      <c r="G60" s="2" t="s">
        <v>24</v>
      </c>
      <c r="H60" s="2" t="s">
        <v>14</v>
      </c>
      <c r="I60" s="2">
        <v>500000</v>
      </c>
      <c r="J60" s="2" t="s">
        <v>157</v>
      </c>
      <c r="K60" t="str">
        <f>IF(COUNTIF($A$2:A60,A60)&gt;1, "Duplicate", "First Occurrence")</f>
        <v>First Occurrence</v>
      </c>
      <c r="L60" t="str">
        <f t="shared" si="1"/>
        <v>Consistent</v>
      </c>
      <c r="M60" t="str">
        <f t="shared" si="2"/>
        <v>Inactive</v>
      </c>
    </row>
    <row r="61" spans="1:13" x14ac:dyDescent="0.35">
      <c r="A61" s="2" t="s">
        <v>161</v>
      </c>
      <c r="B61" s="2" t="s">
        <v>162</v>
      </c>
      <c r="C61" s="2" t="s">
        <v>11</v>
      </c>
      <c r="D61" s="2" t="str">
        <f t="shared" si="3"/>
        <v>Operations</v>
      </c>
      <c r="E61" s="2" t="s">
        <v>12</v>
      </c>
      <c r="F61" s="3">
        <v>45724</v>
      </c>
      <c r="G61" s="2" t="s">
        <v>13</v>
      </c>
      <c r="H61" s="2" t="s">
        <v>14</v>
      </c>
      <c r="I61" s="2">
        <v>500000</v>
      </c>
      <c r="J61" s="2" t="s">
        <v>159</v>
      </c>
      <c r="K61" t="str">
        <f>IF(COUNTIF($A$2:A61,A61)&gt;1, "Duplicate", "First Occurrence")</f>
        <v>First Occurrence</v>
      </c>
      <c r="L61" t="str">
        <f t="shared" si="1"/>
        <v>Consistent</v>
      </c>
      <c r="M61" t="str">
        <f>PROPER(TRIM(G61))</f>
        <v>Active</v>
      </c>
    </row>
    <row r="62" spans="1:13" x14ac:dyDescent="0.35">
      <c r="A62" s="2" t="s">
        <v>163</v>
      </c>
      <c r="B62" s="2" t="s">
        <v>164</v>
      </c>
      <c r="C62" s="2" t="s">
        <v>41</v>
      </c>
      <c r="D62" s="2" t="str">
        <f t="shared" si="3"/>
        <v>Human Resources</v>
      </c>
      <c r="E62" s="2" t="s">
        <v>132</v>
      </c>
      <c r="F62" s="3">
        <v>44884</v>
      </c>
      <c r="G62" s="2" t="s">
        <v>13</v>
      </c>
      <c r="H62" s="2" t="s">
        <v>48</v>
      </c>
      <c r="I62" s="2">
        <v>450000</v>
      </c>
      <c r="J62" s="2" t="s">
        <v>161</v>
      </c>
      <c r="K62" t="str">
        <f>IF(COUNTIF($A$2:A62,A62)&gt;1, "Duplicate", "First Occurrence")</f>
        <v>First Occurrence</v>
      </c>
      <c r="L62" t="str">
        <f t="shared" si="1"/>
        <v>Consistent</v>
      </c>
      <c r="M62" t="str">
        <f t="shared" ref="M62:M101" si="4">PROPER(TRIM(G62))</f>
        <v>Active</v>
      </c>
    </row>
    <row r="63" spans="1:13" x14ac:dyDescent="0.35">
      <c r="A63" s="2" t="s">
        <v>165</v>
      </c>
      <c r="B63" s="2" t="s">
        <v>166</v>
      </c>
      <c r="C63" s="2" t="s">
        <v>37</v>
      </c>
      <c r="D63" s="2" t="str">
        <f t="shared" si="3"/>
        <v>Customer Support</v>
      </c>
      <c r="E63" s="2" t="s">
        <v>38</v>
      </c>
      <c r="F63" s="3">
        <v>44946</v>
      </c>
      <c r="G63" s="2" t="s">
        <v>24</v>
      </c>
      <c r="H63" s="2" t="s">
        <v>48</v>
      </c>
      <c r="I63" s="2">
        <v>350000</v>
      </c>
      <c r="J63" s="2" t="s">
        <v>163</v>
      </c>
      <c r="K63" t="str">
        <f>IF(COUNTIF($A$2:A63,A63)&gt;1, "Duplicate", "First Occurrence")</f>
        <v>First Occurrence</v>
      </c>
      <c r="L63" t="str">
        <f t="shared" si="1"/>
        <v>Consistent</v>
      </c>
      <c r="M63" t="str">
        <f t="shared" si="4"/>
        <v>Inactive</v>
      </c>
    </row>
    <row r="64" spans="1:13" x14ac:dyDescent="0.35">
      <c r="A64" s="2" t="s">
        <v>167</v>
      </c>
      <c r="B64" s="2" t="s">
        <v>168</v>
      </c>
      <c r="C64" s="2" t="s">
        <v>33</v>
      </c>
      <c r="D64" s="2" t="str">
        <f t="shared" si="3"/>
        <v>Sales</v>
      </c>
      <c r="E64" s="2" t="s">
        <v>34</v>
      </c>
      <c r="F64" s="3">
        <v>44634</v>
      </c>
      <c r="G64" s="2" t="s">
        <v>13</v>
      </c>
      <c r="H64" s="2" t="s">
        <v>48</v>
      </c>
      <c r="I64" s="2">
        <v>350000</v>
      </c>
      <c r="J64" s="2" t="s">
        <v>165</v>
      </c>
      <c r="K64" t="str">
        <f>IF(COUNTIF($A$2:A64,A64)&gt;1, "Duplicate", "First Occurrence")</f>
        <v>First Occurrence</v>
      </c>
      <c r="L64" t="str">
        <f t="shared" si="1"/>
        <v>Consistent</v>
      </c>
      <c r="M64" t="str">
        <f t="shared" si="4"/>
        <v>Active</v>
      </c>
    </row>
    <row r="65" spans="1:13" x14ac:dyDescent="0.35">
      <c r="A65" s="2" t="s">
        <v>169</v>
      </c>
      <c r="B65" s="2" t="s">
        <v>170</v>
      </c>
      <c r="C65" s="2" t="s">
        <v>37</v>
      </c>
      <c r="D65" s="2" t="str">
        <f t="shared" si="3"/>
        <v>Customer Support</v>
      </c>
      <c r="E65" s="2" t="s">
        <v>62</v>
      </c>
      <c r="F65" s="3">
        <v>45829</v>
      </c>
      <c r="G65" s="2" t="s">
        <v>13</v>
      </c>
      <c r="H65" s="2" t="s">
        <v>14</v>
      </c>
      <c r="I65" s="2">
        <v>300000</v>
      </c>
      <c r="J65" s="2" t="s">
        <v>167</v>
      </c>
      <c r="K65" t="str">
        <f>IF(COUNTIF($A$2:A65,A65)&gt;1, "Duplicate", "First Occurrence")</f>
        <v>First Occurrence</v>
      </c>
      <c r="L65" t="str">
        <f t="shared" si="1"/>
        <v>Consistent</v>
      </c>
      <c r="M65" t="str">
        <f t="shared" si="4"/>
        <v>Active</v>
      </c>
    </row>
    <row r="66" spans="1:13" x14ac:dyDescent="0.35">
      <c r="A66" s="2" t="s">
        <v>171</v>
      </c>
      <c r="B66" s="2" t="s">
        <v>172</v>
      </c>
      <c r="C66" s="2" t="s">
        <v>22</v>
      </c>
      <c r="D66" s="2" t="str">
        <f t="shared" si="3"/>
        <v>IT</v>
      </c>
      <c r="E66" s="2" t="s">
        <v>23</v>
      </c>
      <c r="F66" s="3">
        <v>45012</v>
      </c>
      <c r="G66" s="2" t="s">
        <v>13</v>
      </c>
      <c r="H66" s="2" t="s">
        <v>19</v>
      </c>
      <c r="I66" s="2">
        <v>500000</v>
      </c>
      <c r="J66" s="2" t="s">
        <v>169</v>
      </c>
      <c r="K66" t="str">
        <f>IF(COUNTIF($A$2:A66,A66)&gt;1, "Duplicate", "First Occurrence")</f>
        <v>First Occurrence</v>
      </c>
      <c r="L66" t="str">
        <f t="shared" si="1"/>
        <v>Consistent</v>
      </c>
      <c r="M66" t="str">
        <f t="shared" si="4"/>
        <v>Active</v>
      </c>
    </row>
    <row r="67" spans="1:13" x14ac:dyDescent="0.35">
      <c r="A67" s="2" t="s">
        <v>173</v>
      </c>
      <c r="B67" s="2" t="s">
        <v>174</v>
      </c>
      <c r="C67" s="2" t="s">
        <v>41</v>
      </c>
      <c r="D67" s="2" t="str">
        <f t="shared" si="3"/>
        <v>Human Resources</v>
      </c>
      <c r="E67" s="2" t="s">
        <v>42</v>
      </c>
      <c r="F67" s="3">
        <v>45732</v>
      </c>
      <c r="G67" s="2" t="s">
        <v>13</v>
      </c>
      <c r="H67" s="2" t="s">
        <v>48</v>
      </c>
      <c r="I67" s="2">
        <v>350000</v>
      </c>
      <c r="J67" s="2" t="s">
        <v>171</v>
      </c>
      <c r="K67" t="str">
        <f>IF(COUNTIF($A$2:A67,A67)&gt;1, "Duplicate", "First Occurrence")</f>
        <v>First Occurrence</v>
      </c>
      <c r="L67" t="str">
        <f t="shared" ref="L67:L101" si="5">IF(EXACT(G67, PROPER(G67)), "Consistent", "Change")</f>
        <v>Consistent</v>
      </c>
      <c r="M67" t="str">
        <f t="shared" si="4"/>
        <v>Active</v>
      </c>
    </row>
    <row r="68" spans="1:13" x14ac:dyDescent="0.35">
      <c r="A68" s="2" t="s">
        <v>175</v>
      </c>
      <c r="B68" s="2" t="s">
        <v>176</v>
      </c>
      <c r="C68" s="2" t="s">
        <v>37</v>
      </c>
      <c r="D68" s="2" t="str">
        <f t="shared" si="3"/>
        <v>Customer Support</v>
      </c>
      <c r="E68" s="2" t="s">
        <v>38</v>
      </c>
      <c r="F68" s="3">
        <v>45593</v>
      </c>
      <c r="G68" s="2" t="s">
        <v>13</v>
      </c>
      <c r="H68" s="2" t="s">
        <v>14</v>
      </c>
      <c r="I68" s="2">
        <v>350000</v>
      </c>
      <c r="J68" s="2" t="s">
        <v>173</v>
      </c>
      <c r="K68" t="str">
        <f>IF(COUNTIF($A$2:A68,A68)&gt;1, "Duplicate", "First Occurrence")</f>
        <v>First Occurrence</v>
      </c>
      <c r="L68" t="str">
        <f t="shared" si="5"/>
        <v>Consistent</v>
      </c>
      <c r="M68" t="str">
        <f t="shared" si="4"/>
        <v>Active</v>
      </c>
    </row>
    <row r="69" spans="1:13" x14ac:dyDescent="0.35">
      <c r="A69" s="2" t="s">
        <v>177</v>
      </c>
      <c r="B69" s="2" t="s">
        <v>178</v>
      </c>
      <c r="C69" s="2" t="s">
        <v>22</v>
      </c>
      <c r="D69" s="2" t="str">
        <f t="shared" si="3"/>
        <v>IT</v>
      </c>
      <c r="E69" s="2" t="s">
        <v>67</v>
      </c>
      <c r="F69" s="3">
        <v>44693</v>
      </c>
      <c r="G69" s="2" t="s">
        <v>30</v>
      </c>
      <c r="H69" s="2" t="s">
        <v>19</v>
      </c>
      <c r="I69" s="2">
        <v>250000</v>
      </c>
      <c r="J69" s="2" t="s">
        <v>175</v>
      </c>
      <c r="K69" t="str">
        <f>IF(COUNTIF($A$2:A69,A69)&gt;1, "Duplicate", "First Occurrence")</f>
        <v>First Occurrence</v>
      </c>
      <c r="L69" t="str">
        <f t="shared" si="5"/>
        <v>Consistent</v>
      </c>
      <c r="M69" t="str">
        <f t="shared" si="4"/>
        <v>On Leave</v>
      </c>
    </row>
    <row r="70" spans="1:13" x14ac:dyDescent="0.35">
      <c r="A70" s="2" t="s">
        <v>179</v>
      </c>
      <c r="B70" s="2" t="s">
        <v>180</v>
      </c>
      <c r="C70" s="2" t="s">
        <v>11</v>
      </c>
      <c r="D70" s="2" t="str">
        <f t="shared" si="3"/>
        <v>Operations</v>
      </c>
      <c r="E70" s="2" t="s">
        <v>12</v>
      </c>
      <c r="F70" s="3">
        <v>45189</v>
      </c>
      <c r="G70" s="2" t="s">
        <v>30</v>
      </c>
      <c r="H70" s="2" t="s">
        <v>14</v>
      </c>
      <c r="I70" s="2">
        <v>500000</v>
      </c>
      <c r="J70" s="2" t="s">
        <v>177</v>
      </c>
      <c r="K70" t="str">
        <f>IF(COUNTIF($A$2:A70,A70)&gt;1, "Duplicate", "First Occurrence")</f>
        <v>First Occurrence</v>
      </c>
      <c r="L70" t="str">
        <f t="shared" si="5"/>
        <v>Consistent</v>
      </c>
      <c r="M70" t="str">
        <f t="shared" si="4"/>
        <v>On Leave</v>
      </c>
    </row>
    <row r="71" spans="1:13" x14ac:dyDescent="0.35">
      <c r="A71" s="2" t="s">
        <v>181</v>
      </c>
      <c r="B71" s="2" t="s">
        <v>182</v>
      </c>
      <c r="C71" s="2" t="s">
        <v>41</v>
      </c>
      <c r="D71" s="2" t="str">
        <f t="shared" si="3"/>
        <v>Human Resources</v>
      </c>
      <c r="E71" s="2" t="s">
        <v>132</v>
      </c>
      <c r="F71" s="3">
        <v>45476</v>
      </c>
      <c r="G71" s="2" t="s">
        <v>13</v>
      </c>
      <c r="H71" s="2" t="s">
        <v>14</v>
      </c>
      <c r="I71" s="2">
        <v>220000</v>
      </c>
      <c r="J71" s="2" t="s">
        <v>179</v>
      </c>
      <c r="K71" t="str">
        <f>IF(COUNTIF($A$2:A71,A71)&gt;1, "Duplicate", "First Occurrence")</f>
        <v>First Occurrence</v>
      </c>
      <c r="L71" t="str">
        <f t="shared" si="5"/>
        <v>Consistent</v>
      </c>
      <c r="M71" t="str">
        <f t="shared" si="4"/>
        <v>Active</v>
      </c>
    </row>
    <row r="72" spans="1:13" x14ac:dyDescent="0.35">
      <c r="A72" s="2" t="s">
        <v>183</v>
      </c>
      <c r="B72" s="2" t="s">
        <v>184</v>
      </c>
      <c r="C72" s="2" t="s">
        <v>37</v>
      </c>
      <c r="D72" s="2" t="str">
        <f t="shared" si="3"/>
        <v>Customer Support</v>
      </c>
      <c r="E72" s="2" t="s">
        <v>62</v>
      </c>
      <c r="F72" s="3">
        <v>44766</v>
      </c>
      <c r="G72" s="2" t="s">
        <v>24</v>
      </c>
      <c r="H72" s="2" t="s">
        <v>48</v>
      </c>
      <c r="I72" s="2">
        <v>500000</v>
      </c>
      <c r="J72" s="2" t="s">
        <v>181</v>
      </c>
      <c r="K72" t="str">
        <f>IF(COUNTIF($A$2:A72,A72)&gt;1, "Duplicate", "First Occurrence")</f>
        <v>First Occurrence</v>
      </c>
      <c r="L72" t="str">
        <f t="shared" si="5"/>
        <v>Consistent</v>
      </c>
      <c r="M72" t="str">
        <f t="shared" si="4"/>
        <v>Inactive</v>
      </c>
    </row>
    <row r="73" spans="1:13" x14ac:dyDescent="0.35">
      <c r="A73" s="2" t="s">
        <v>185</v>
      </c>
      <c r="B73" s="2" t="s">
        <v>186</v>
      </c>
      <c r="C73" s="2" t="s">
        <v>37</v>
      </c>
      <c r="D73" s="2" t="str">
        <f t="shared" si="3"/>
        <v>Customer Support</v>
      </c>
      <c r="E73" s="2" t="s">
        <v>38</v>
      </c>
      <c r="F73" s="3">
        <v>45883</v>
      </c>
      <c r="G73" s="2" t="s">
        <v>13</v>
      </c>
      <c r="H73" s="2" t="s">
        <v>48</v>
      </c>
      <c r="I73" s="2">
        <v>220000</v>
      </c>
      <c r="J73" s="2" t="s">
        <v>183</v>
      </c>
      <c r="K73" t="str">
        <f>IF(COUNTIF($A$2:A73,A73)&gt;1, "Duplicate", "First Occurrence")</f>
        <v>First Occurrence</v>
      </c>
      <c r="L73" t="str">
        <f t="shared" si="5"/>
        <v>Consistent</v>
      </c>
      <c r="M73" t="str">
        <f t="shared" si="4"/>
        <v>Active</v>
      </c>
    </row>
    <row r="74" spans="1:13" x14ac:dyDescent="0.35">
      <c r="A74" s="2" t="s">
        <v>187</v>
      </c>
      <c r="B74" s="2" t="s">
        <v>188</v>
      </c>
      <c r="C74" s="2" t="s">
        <v>17</v>
      </c>
      <c r="D74" s="2" t="str">
        <f t="shared" si="3"/>
        <v>Finance</v>
      </c>
      <c r="E74" s="2" t="s">
        <v>93</v>
      </c>
      <c r="F74" s="3">
        <v>44981</v>
      </c>
      <c r="G74" s="2" t="s">
        <v>13</v>
      </c>
      <c r="H74" s="2" t="s">
        <v>19</v>
      </c>
      <c r="I74" s="2">
        <v>400000</v>
      </c>
      <c r="J74" s="2" t="s">
        <v>185</v>
      </c>
      <c r="K74" t="str">
        <f>IF(COUNTIF($A$2:A74,A74)&gt;1, "Duplicate", "First Occurrence")</f>
        <v>First Occurrence</v>
      </c>
      <c r="L74" t="str">
        <f t="shared" si="5"/>
        <v>Consistent</v>
      </c>
      <c r="M74" t="str">
        <f t="shared" si="4"/>
        <v>Active</v>
      </c>
    </row>
    <row r="75" spans="1:13" x14ac:dyDescent="0.35">
      <c r="A75" s="2" t="s">
        <v>189</v>
      </c>
      <c r="B75" s="2" t="s">
        <v>190</v>
      </c>
      <c r="C75" s="2" t="s">
        <v>22</v>
      </c>
      <c r="D75" s="2" t="str">
        <f t="shared" ref="D75:D101" si="6">TRIM(C75)</f>
        <v>IT</v>
      </c>
      <c r="E75" s="2" t="s">
        <v>23</v>
      </c>
      <c r="F75" s="3">
        <v>45902</v>
      </c>
      <c r="G75" s="2" t="s">
        <v>13</v>
      </c>
      <c r="H75" s="2" t="s">
        <v>19</v>
      </c>
      <c r="I75" s="2">
        <v>220000</v>
      </c>
      <c r="J75" s="2" t="s">
        <v>187</v>
      </c>
      <c r="K75" t="str">
        <f>IF(COUNTIF($A$2:A75,A75)&gt;1, "Duplicate", "First Occurrence")</f>
        <v>First Occurrence</v>
      </c>
      <c r="L75" t="str">
        <f t="shared" si="5"/>
        <v>Consistent</v>
      </c>
      <c r="M75" t="str">
        <f t="shared" si="4"/>
        <v>Active</v>
      </c>
    </row>
    <row r="76" spans="1:13" x14ac:dyDescent="0.35">
      <c r="A76" s="2" t="s">
        <v>191</v>
      </c>
      <c r="B76" s="2" t="s">
        <v>192</v>
      </c>
      <c r="C76" s="2" t="s">
        <v>41</v>
      </c>
      <c r="D76" s="2" t="str">
        <f t="shared" si="6"/>
        <v>Human Resources</v>
      </c>
      <c r="E76" s="2" t="s">
        <v>42</v>
      </c>
      <c r="F76" s="3">
        <v>44604</v>
      </c>
      <c r="G76" s="2" t="s">
        <v>13</v>
      </c>
      <c r="H76" s="2" t="s">
        <v>48</v>
      </c>
      <c r="I76" s="2">
        <v>450000</v>
      </c>
      <c r="J76" s="2" t="s">
        <v>189</v>
      </c>
      <c r="K76" t="str">
        <f>IF(COUNTIF($A$2:A76,A76)&gt;1, "Duplicate", "First Occurrence")</f>
        <v>First Occurrence</v>
      </c>
      <c r="L76" t="str">
        <f t="shared" si="5"/>
        <v>Consistent</v>
      </c>
      <c r="M76" t="str">
        <f t="shared" si="4"/>
        <v>Active</v>
      </c>
    </row>
    <row r="77" spans="1:13" x14ac:dyDescent="0.35">
      <c r="A77" s="2" t="s">
        <v>193</v>
      </c>
      <c r="B77" s="2" t="s">
        <v>194</v>
      </c>
      <c r="C77" s="2" t="s">
        <v>41</v>
      </c>
      <c r="D77" s="2" t="str">
        <f t="shared" si="6"/>
        <v>Human Resources</v>
      </c>
      <c r="E77" s="2" t="s">
        <v>42</v>
      </c>
      <c r="F77" s="3">
        <v>44232</v>
      </c>
      <c r="G77" s="2" t="s">
        <v>13</v>
      </c>
      <c r="H77" s="2" t="s">
        <v>14</v>
      </c>
      <c r="I77" s="2">
        <v>500000</v>
      </c>
      <c r="J77" s="2" t="s">
        <v>191</v>
      </c>
      <c r="K77" t="str">
        <f>IF(COUNTIF($A$2:A77,A77)&gt;1, "Duplicate", "First Occurrence")</f>
        <v>First Occurrence</v>
      </c>
      <c r="L77" t="str">
        <f t="shared" si="5"/>
        <v>Consistent</v>
      </c>
      <c r="M77" t="str">
        <f t="shared" si="4"/>
        <v>Active</v>
      </c>
    </row>
    <row r="78" spans="1:13" x14ac:dyDescent="0.35">
      <c r="A78" s="2" t="s">
        <v>195</v>
      </c>
      <c r="B78" s="2" t="s">
        <v>196</v>
      </c>
      <c r="C78" s="2" t="s">
        <v>37</v>
      </c>
      <c r="D78" s="2" t="str">
        <f t="shared" si="6"/>
        <v>Customer Support</v>
      </c>
      <c r="E78" s="2" t="s">
        <v>38</v>
      </c>
      <c r="F78" s="3">
        <v>44596</v>
      </c>
      <c r="G78" s="2" t="s">
        <v>13</v>
      </c>
      <c r="H78" s="2" t="s">
        <v>19</v>
      </c>
      <c r="I78" s="2">
        <v>450000</v>
      </c>
      <c r="J78" s="2" t="s">
        <v>193</v>
      </c>
      <c r="K78" t="str">
        <f>IF(COUNTIF($A$2:A78,A78)&gt;1, "Duplicate", "First Occurrence")</f>
        <v>First Occurrence</v>
      </c>
      <c r="L78" t="str">
        <f t="shared" si="5"/>
        <v>Consistent</v>
      </c>
      <c r="M78" t="str">
        <f t="shared" si="4"/>
        <v>Active</v>
      </c>
    </row>
    <row r="79" spans="1:13" x14ac:dyDescent="0.35">
      <c r="A79" s="2" t="s">
        <v>197</v>
      </c>
      <c r="B79" s="2" t="s">
        <v>198</v>
      </c>
      <c r="C79" s="2" t="s">
        <v>11</v>
      </c>
      <c r="D79" s="2" t="str">
        <f t="shared" si="6"/>
        <v>Operations</v>
      </c>
      <c r="E79" s="2" t="s">
        <v>27</v>
      </c>
      <c r="F79" s="3">
        <v>45574</v>
      </c>
      <c r="G79" s="2" t="s">
        <v>24</v>
      </c>
      <c r="H79" s="2" t="s">
        <v>19</v>
      </c>
      <c r="I79" s="2">
        <v>180000</v>
      </c>
      <c r="J79" s="2" t="s">
        <v>195</v>
      </c>
      <c r="K79" t="str">
        <f>IF(COUNTIF($A$2:A79,A79)&gt;1, "Duplicate", "First Occurrence")</f>
        <v>First Occurrence</v>
      </c>
      <c r="L79" t="str">
        <f t="shared" si="5"/>
        <v>Consistent</v>
      </c>
      <c r="M79" t="str">
        <f t="shared" si="4"/>
        <v>Inactive</v>
      </c>
    </row>
    <row r="80" spans="1:13" x14ac:dyDescent="0.35">
      <c r="A80" s="2" t="s">
        <v>199</v>
      </c>
      <c r="B80" s="2" t="s">
        <v>200</v>
      </c>
      <c r="C80" s="2" t="s">
        <v>17</v>
      </c>
      <c r="D80" s="2" t="str">
        <f t="shared" si="6"/>
        <v>Finance</v>
      </c>
      <c r="E80" s="2" t="s">
        <v>57</v>
      </c>
      <c r="F80" s="3">
        <v>44771</v>
      </c>
      <c r="G80" s="2" t="s">
        <v>30</v>
      </c>
      <c r="H80" s="2" t="s">
        <v>48</v>
      </c>
      <c r="I80" s="2">
        <v>220000</v>
      </c>
      <c r="J80" s="2" t="s">
        <v>197</v>
      </c>
      <c r="K80" t="str">
        <f>IF(COUNTIF($A$2:A80,A80)&gt;1, "Duplicate", "First Occurrence")</f>
        <v>First Occurrence</v>
      </c>
      <c r="L80" t="str">
        <f t="shared" si="5"/>
        <v>Consistent</v>
      </c>
      <c r="M80" t="str">
        <f t="shared" si="4"/>
        <v>On Leave</v>
      </c>
    </row>
    <row r="81" spans="1:13" x14ac:dyDescent="0.35">
      <c r="A81" s="2" t="s">
        <v>201</v>
      </c>
      <c r="B81" s="2" t="s">
        <v>202</v>
      </c>
      <c r="C81" s="2" t="s">
        <v>17</v>
      </c>
      <c r="D81" s="2" t="str">
        <f t="shared" si="6"/>
        <v>Finance</v>
      </c>
      <c r="E81" s="2" t="s">
        <v>93</v>
      </c>
      <c r="F81" s="3">
        <v>45562</v>
      </c>
      <c r="G81" s="2" t="s">
        <v>13</v>
      </c>
      <c r="H81" s="2" t="s">
        <v>48</v>
      </c>
      <c r="I81" s="2">
        <v>400000</v>
      </c>
      <c r="J81" s="2" t="s">
        <v>199</v>
      </c>
      <c r="K81" t="str">
        <f>IF(COUNTIF($A$2:A81,A81)&gt;1, "Duplicate", "First Occurrence")</f>
        <v>First Occurrence</v>
      </c>
      <c r="L81" t="str">
        <f t="shared" si="5"/>
        <v>Consistent</v>
      </c>
      <c r="M81" t="str">
        <f t="shared" si="4"/>
        <v>Active</v>
      </c>
    </row>
    <row r="82" spans="1:13" x14ac:dyDescent="0.35">
      <c r="A82" s="2" t="s">
        <v>203</v>
      </c>
      <c r="B82" s="2" t="s">
        <v>204</v>
      </c>
      <c r="C82" s="2" t="s">
        <v>37</v>
      </c>
      <c r="D82" s="2" t="str">
        <f t="shared" si="6"/>
        <v>Customer Support</v>
      </c>
      <c r="E82" s="2" t="s">
        <v>82</v>
      </c>
      <c r="F82" s="3">
        <v>45199</v>
      </c>
      <c r="G82" s="2" t="s">
        <v>13</v>
      </c>
      <c r="H82" s="2" t="s">
        <v>14</v>
      </c>
      <c r="I82" s="2">
        <v>300000</v>
      </c>
      <c r="J82" s="2" t="s">
        <v>201</v>
      </c>
      <c r="K82" t="str">
        <f>IF(COUNTIF($A$2:A82,A82)&gt;1, "Duplicate", "First Occurrence")</f>
        <v>First Occurrence</v>
      </c>
      <c r="L82" t="str">
        <f t="shared" si="5"/>
        <v>Consistent</v>
      </c>
      <c r="M82" t="str">
        <f t="shared" si="4"/>
        <v>Active</v>
      </c>
    </row>
    <row r="83" spans="1:13" x14ac:dyDescent="0.35">
      <c r="A83" s="2" t="s">
        <v>205</v>
      </c>
      <c r="B83" s="2" t="s">
        <v>206</v>
      </c>
      <c r="C83" s="2" t="s">
        <v>11</v>
      </c>
      <c r="D83" s="2" t="str">
        <f t="shared" si="6"/>
        <v>Operations</v>
      </c>
      <c r="E83" s="2" t="s">
        <v>141</v>
      </c>
      <c r="F83" s="3">
        <v>45840</v>
      </c>
      <c r="G83" s="2" t="s">
        <v>13</v>
      </c>
      <c r="H83" s="2" t="s">
        <v>48</v>
      </c>
      <c r="I83" s="2">
        <v>350000</v>
      </c>
      <c r="J83" s="2" t="s">
        <v>203</v>
      </c>
      <c r="K83" t="str">
        <f>IF(COUNTIF($A$2:A83,A83)&gt;1, "Duplicate", "First Occurrence")</f>
        <v>First Occurrence</v>
      </c>
      <c r="L83" t="str">
        <f t="shared" si="5"/>
        <v>Consistent</v>
      </c>
      <c r="M83" t="str">
        <f t="shared" si="4"/>
        <v>Active</v>
      </c>
    </row>
    <row r="84" spans="1:13" x14ac:dyDescent="0.35">
      <c r="A84" s="2" t="s">
        <v>207</v>
      </c>
      <c r="B84" s="2" t="s">
        <v>208</v>
      </c>
      <c r="C84" s="2" t="s">
        <v>11</v>
      </c>
      <c r="D84" s="2" t="str">
        <f t="shared" si="6"/>
        <v>Operations</v>
      </c>
      <c r="E84" s="2" t="s">
        <v>12</v>
      </c>
      <c r="F84" s="3">
        <v>45570</v>
      </c>
      <c r="G84" s="2" t="s">
        <v>13</v>
      </c>
      <c r="H84" s="2" t="s">
        <v>19</v>
      </c>
      <c r="I84" s="2">
        <v>500000</v>
      </c>
      <c r="J84" s="2" t="s">
        <v>205</v>
      </c>
      <c r="K84" t="str">
        <f>IF(COUNTIF($A$2:A84,A84)&gt;1, "Duplicate", "First Occurrence")</f>
        <v>First Occurrence</v>
      </c>
      <c r="L84" t="str">
        <f t="shared" si="5"/>
        <v>Consistent</v>
      </c>
      <c r="M84" t="str">
        <f t="shared" si="4"/>
        <v>Active</v>
      </c>
    </row>
    <row r="85" spans="1:13" x14ac:dyDescent="0.35">
      <c r="A85" s="2" t="s">
        <v>209</v>
      </c>
      <c r="B85" s="2" t="s">
        <v>210</v>
      </c>
      <c r="C85" s="2" t="s">
        <v>11</v>
      </c>
      <c r="D85" s="2" t="str">
        <f t="shared" si="6"/>
        <v>Operations</v>
      </c>
      <c r="E85" s="2" t="s">
        <v>141</v>
      </c>
      <c r="F85" s="3">
        <v>44852</v>
      </c>
      <c r="G85" s="2" t="s">
        <v>13</v>
      </c>
      <c r="H85" s="2" t="s">
        <v>48</v>
      </c>
      <c r="I85" s="2">
        <v>400000</v>
      </c>
      <c r="J85" s="2" t="s">
        <v>207</v>
      </c>
      <c r="K85" t="str">
        <f>IF(COUNTIF($A$2:A85,A85)&gt;1, "Duplicate", "First Occurrence")</f>
        <v>First Occurrence</v>
      </c>
      <c r="L85" t="str">
        <f t="shared" si="5"/>
        <v>Consistent</v>
      </c>
      <c r="M85" t="str">
        <f t="shared" si="4"/>
        <v>Active</v>
      </c>
    </row>
    <row r="86" spans="1:13" x14ac:dyDescent="0.35">
      <c r="A86" s="2" t="s">
        <v>211</v>
      </c>
      <c r="B86" s="2" t="s">
        <v>212</v>
      </c>
      <c r="C86" s="2" t="s">
        <v>33</v>
      </c>
      <c r="D86" s="2" t="str">
        <f t="shared" si="6"/>
        <v>Sales</v>
      </c>
      <c r="E86" s="2" t="s">
        <v>34</v>
      </c>
      <c r="F86" s="3">
        <v>44853</v>
      </c>
      <c r="G86" s="2" t="s">
        <v>13</v>
      </c>
      <c r="H86" s="2" t="s">
        <v>48</v>
      </c>
      <c r="I86" s="2">
        <v>450000</v>
      </c>
      <c r="J86" s="2" t="s">
        <v>209</v>
      </c>
      <c r="K86" t="str">
        <f>IF(COUNTIF($A$2:A86,A86)&gt;1, "Duplicate", "First Occurrence")</f>
        <v>First Occurrence</v>
      </c>
      <c r="L86" t="str">
        <f t="shared" si="5"/>
        <v>Consistent</v>
      </c>
      <c r="M86" t="str">
        <f t="shared" si="4"/>
        <v>Active</v>
      </c>
    </row>
    <row r="87" spans="1:13" x14ac:dyDescent="0.35">
      <c r="A87" s="2" t="s">
        <v>213</v>
      </c>
      <c r="B87" s="2" t="s">
        <v>214</v>
      </c>
      <c r="C87" s="2" t="s">
        <v>17</v>
      </c>
      <c r="D87" s="2" t="str">
        <f t="shared" si="6"/>
        <v>Finance</v>
      </c>
      <c r="E87" s="2" t="s">
        <v>57</v>
      </c>
      <c r="F87" s="3">
        <v>44937</v>
      </c>
      <c r="G87" s="2" t="s">
        <v>30</v>
      </c>
      <c r="H87" s="2" t="s">
        <v>48</v>
      </c>
      <c r="I87" s="2">
        <v>450000</v>
      </c>
      <c r="J87" s="2" t="s">
        <v>211</v>
      </c>
      <c r="K87" t="str">
        <f>IF(COUNTIF($A$2:A87,A87)&gt;1, "Duplicate", "First Occurrence")</f>
        <v>First Occurrence</v>
      </c>
      <c r="L87" t="str">
        <f t="shared" si="5"/>
        <v>Consistent</v>
      </c>
      <c r="M87" t="str">
        <f t="shared" si="4"/>
        <v>On Leave</v>
      </c>
    </row>
    <row r="88" spans="1:13" x14ac:dyDescent="0.35">
      <c r="A88" s="2" t="s">
        <v>215</v>
      </c>
      <c r="B88" s="2" t="s">
        <v>216</v>
      </c>
      <c r="C88" s="2" t="s">
        <v>41</v>
      </c>
      <c r="D88" s="2" t="str">
        <f t="shared" si="6"/>
        <v>Human Resources</v>
      </c>
      <c r="E88" s="2" t="s">
        <v>42</v>
      </c>
      <c r="F88" s="3">
        <v>46128</v>
      </c>
      <c r="G88" s="2" t="s">
        <v>13</v>
      </c>
      <c r="H88" s="2" t="s">
        <v>48</v>
      </c>
      <c r="I88" s="2">
        <v>220000</v>
      </c>
      <c r="J88" s="2" t="s">
        <v>213</v>
      </c>
      <c r="K88" t="str">
        <f>IF(COUNTIF($A$2:A88,A88)&gt;1, "Duplicate", "First Occurrence")</f>
        <v>First Occurrence</v>
      </c>
      <c r="L88" t="str">
        <f t="shared" si="5"/>
        <v>Consistent</v>
      </c>
      <c r="M88" t="str">
        <f t="shared" si="4"/>
        <v>Active</v>
      </c>
    </row>
    <row r="89" spans="1:13" x14ac:dyDescent="0.35">
      <c r="A89" s="2" t="s">
        <v>217</v>
      </c>
      <c r="B89" s="2" t="s">
        <v>218</v>
      </c>
      <c r="C89" s="2" t="s">
        <v>41</v>
      </c>
      <c r="D89" s="2" t="str">
        <f t="shared" si="6"/>
        <v>Human Resources</v>
      </c>
      <c r="E89" s="2" t="s">
        <v>45</v>
      </c>
      <c r="F89" s="3">
        <v>45971</v>
      </c>
      <c r="G89" s="2" t="s">
        <v>24</v>
      </c>
      <c r="H89" s="2" t="s">
        <v>48</v>
      </c>
      <c r="I89" s="2">
        <v>500000</v>
      </c>
      <c r="J89" s="2" t="s">
        <v>215</v>
      </c>
      <c r="K89" t="str">
        <f>IF(COUNTIF($A$2:A89,A89)&gt;1, "Duplicate", "First Occurrence")</f>
        <v>First Occurrence</v>
      </c>
      <c r="L89" t="str">
        <f t="shared" si="5"/>
        <v>Consistent</v>
      </c>
      <c r="M89" t="str">
        <f t="shared" si="4"/>
        <v>Inactive</v>
      </c>
    </row>
    <row r="90" spans="1:13" x14ac:dyDescent="0.35">
      <c r="A90" s="2" t="s">
        <v>219</v>
      </c>
      <c r="B90" s="2" t="s">
        <v>220</v>
      </c>
      <c r="C90" s="2" t="s">
        <v>41</v>
      </c>
      <c r="D90" s="2" t="str">
        <f t="shared" si="6"/>
        <v>Human Resources</v>
      </c>
      <c r="E90" s="2" t="s">
        <v>42</v>
      </c>
      <c r="F90" s="3">
        <v>44684</v>
      </c>
      <c r="G90" s="2" t="s">
        <v>30</v>
      </c>
      <c r="H90" s="2" t="s">
        <v>14</v>
      </c>
      <c r="I90" s="2">
        <v>500000</v>
      </c>
      <c r="J90" s="2" t="s">
        <v>217</v>
      </c>
      <c r="K90" t="str">
        <f>IF(COUNTIF($A$2:A90,A90)&gt;1, "Duplicate", "First Occurrence")</f>
        <v>First Occurrence</v>
      </c>
      <c r="L90" t="str">
        <f t="shared" si="5"/>
        <v>Consistent</v>
      </c>
      <c r="M90" t="str">
        <f t="shared" si="4"/>
        <v>On Leave</v>
      </c>
    </row>
    <row r="91" spans="1:13" x14ac:dyDescent="0.35">
      <c r="A91" s="2" t="s">
        <v>221</v>
      </c>
      <c r="B91" s="2" t="s">
        <v>222</v>
      </c>
      <c r="C91" s="2" t="s">
        <v>22</v>
      </c>
      <c r="D91" s="2" t="str">
        <f t="shared" si="6"/>
        <v>IT</v>
      </c>
      <c r="E91" s="2" t="s">
        <v>23</v>
      </c>
      <c r="F91" s="3">
        <v>44900</v>
      </c>
      <c r="G91" s="2" t="s">
        <v>30</v>
      </c>
      <c r="H91" s="2" t="s">
        <v>48</v>
      </c>
      <c r="I91" s="2">
        <v>350000</v>
      </c>
      <c r="J91" s="2" t="s">
        <v>219</v>
      </c>
      <c r="K91" t="str">
        <f>IF(COUNTIF($A$2:A91,A91)&gt;1, "Duplicate", "First Occurrence")</f>
        <v>First Occurrence</v>
      </c>
      <c r="L91" t="str">
        <f t="shared" si="5"/>
        <v>Consistent</v>
      </c>
      <c r="M91" t="str">
        <f t="shared" si="4"/>
        <v>On Leave</v>
      </c>
    </row>
    <row r="92" spans="1:13" x14ac:dyDescent="0.35">
      <c r="A92" s="2" t="s">
        <v>223</v>
      </c>
      <c r="B92" s="2" t="s">
        <v>224</v>
      </c>
      <c r="C92" s="2" t="s">
        <v>33</v>
      </c>
      <c r="D92" s="2" t="str">
        <f t="shared" si="6"/>
        <v>Sales</v>
      </c>
      <c r="E92" s="2" t="s">
        <v>100</v>
      </c>
      <c r="F92" s="3">
        <v>45296</v>
      </c>
      <c r="G92" s="2" t="s">
        <v>13</v>
      </c>
      <c r="H92" s="2" t="s">
        <v>14</v>
      </c>
      <c r="I92" s="2">
        <v>400000</v>
      </c>
      <c r="J92" s="2" t="s">
        <v>221</v>
      </c>
      <c r="K92" t="str">
        <f>IF(COUNTIF($A$2:A92,A92)&gt;1, "Duplicate", "First Occurrence")</f>
        <v>First Occurrence</v>
      </c>
      <c r="L92" t="str">
        <f t="shared" si="5"/>
        <v>Consistent</v>
      </c>
      <c r="M92" t="str">
        <f t="shared" si="4"/>
        <v>Active</v>
      </c>
    </row>
    <row r="93" spans="1:13" x14ac:dyDescent="0.35">
      <c r="A93" s="2" t="s">
        <v>225</v>
      </c>
      <c r="B93" s="2" t="s">
        <v>226</v>
      </c>
      <c r="C93" s="2" t="s">
        <v>41</v>
      </c>
      <c r="D93" s="2" t="str">
        <f t="shared" si="6"/>
        <v>Human Resources</v>
      </c>
      <c r="E93" s="2" t="s">
        <v>45</v>
      </c>
      <c r="F93" s="3">
        <v>45505</v>
      </c>
      <c r="G93" s="2" t="s">
        <v>13</v>
      </c>
      <c r="H93" s="2" t="s">
        <v>14</v>
      </c>
      <c r="I93" s="2">
        <v>450000</v>
      </c>
      <c r="J93" s="2" t="s">
        <v>223</v>
      </c>
      <c r="K93" t="str">
        <f>IF(COUNTIF($A$2:A93,A93)&gt;1, "Duplicate", "First Occurrence")</f>
        <v>First Occurrence</v>
      </c>
      <c r="L93" t="str">
        <f t="shared" si="5"/>
        <v>Consistent</v>
      </c>
      <c r="M93" t="str">
        <f t="shared" si="4"/>
        <v>Active</v>
      </c>
    </row>
    <row r="94" spans="1:13" x14ac:dyDescent="0.35">
      <c r="A94" s="2" t="s">
        <v>227</v>
      </c>
      <c r="B94" s="2" t="s">
        <v>228</v>
      </c>
      <c r="C94" s="2" t="s">
        <v>41</v>
      </c>
      <c r="D94" s="2" t="str">
        <f t="shared" si="6"/>
        <v>Human Resources</v>
      </c>
      <c r="E94" s="2" t="s">
        <v>45</v>
      </c>
      <c r="F94" s="3">
        <v>44290</v>
      </c>
      <c r="G94" s="2" t="s">
        <v>24</v>
      </c>
      <c r="H94" s="2" t="s">
        <v>14</v>
      </c>
      <c r="I94" s="2">
        <v>300000</v>
      </c>
      <c r="J94" s="2" t="s">
        <v>225</v>
      </c>
      <c r="K94" t="str">
        <f>IF(COUNTIF($A$2:A94,A94)&gt;1, "Duplicate", "First Occurrence")</f>
        <v>First Occurrence</v>
      </c>
      <c r="L94" t="str">
        <f t="shared" si="5"/>
        <v>Consistent</v>
      </c>
      <c r="M94" t="str">
        <f t="shared" si="4"/>
        <v>Inactive</v>
      </c>
    </row>
    <row r="95" spans="1:13" x14ac:dyDescent="0.35">
      <c r="A95" s="2" t="s">
        <v>229</v>
      </c>
      <c r="B95" s="2" t="s">
        <v>230</v>
      </c>
      <c r="C95" s="2" t="s">
        <v>17</v>
      </c>
      <c r="D95" s="2" t="str">
        <f t="shared" si="6"/>
        <v>Finance</v>
      </c>
      <c r="E95" s="2" t="s">
        <v>93</v>
      </c>
      <c r="F95" s="3">
        <v>44670</v>
      </c>
      <c r="G95" s="2" t="s">
        <v>13</v>
      </c>
      <c r="H95" s="2" t="s">
        <v>14</v>
      </c>
      <c r="I95" s="2">
        <v>400000</v>
      </c>
      <c r="J95" s="2" t="s">
        <v>227</v>
      </c>
      <c r="K95" t="str">
        <f>IF(COUNTIF($A$2:A95,A95)&gt;1, "Duplicate", "First Occurrence")</f>
        <v>First Occurrence</v>
      </c>
      <c r="L95" t="str">
        <f t="shared" si="5"/>
        <v>Consistent</v>
      </c>
      <c r="M95" t="str">
        <f t="shared" si="4"/>
        <v>Active</v>
      </c>
    </row>
    <row r="96" spans="1:13" x14ac:dyDescent="0.35">
      <c r="A96" s="2" t="s">
        <v>231</v>
      </c>
      <c r="B96" s="2" t="s">
        <v>232</v>
      </c>
      <c r="C96" s="2" t="s">
        <v>37</v>
      </c>
      <c r="D96" s="2" t="str">
        <f t="shared" si="6"/>
        <v>Customer Support</v>
      </c>
      <c r="E96" s="2" t="s">
        <v>62</v>
      </c>
      <c r="F96" s="3">
        <v>44553</v>
      </c>
      <c r="G96" s="2" t="s">
        <v>13</v>
      </c>
      <c r="H96" s="2" t="s">
        <v>48</v>
      </c>
      <c r="I96" s="2">
        <v>400000</v>
      </c>
      <c r="J96" s="2" t="s">
        <v>229</v>
      </c>
      <c r="K96" t="str">
        <f>IF(COUNTIF($A$2:A96,A96)&gt;1, "Duplicate", "First Occurrence")</f>
        <v>First Occurrence</v>
      </c>
      <c r="L96" t="str">
        <f t="shared" si="5"/>
        <v>Consistent</v>
      </c>
      <c r="M96" t="str">
        <f t="shared" si="4"/>
        <v>Active</v>
      </c>
    </row>
    <row r="97" spans="1:13" x14ac:dyDescent="0.35">
      <c r="A97" s="2" t="s">
        <v>233</v>
      </c>
      <c r="B97" s="2" t="s">
        <v>234</v>
      </c>
      <c r="C97" s="2" t="s">
        <v>22</v>
      </c>
      <c r="D97" s="2" t="str">
        <f t="shared" si="6"/>
        <v>IT</v>
      </c>
      <c r="E97" s="2" t="s">
        <v>67</v>
      </c>
      <c r="F97" s="3">
        <v>45320</v>
      </c>
      <c r="G97" s="2" t="s">
        <v>13</v>
      </c>
      <c r="H97" s="2" t="s">
        <v>19</v>
      </c>
      <c r="I97" s="2">
        <v>220000</v>
      </c>
      <c r="J97" s="2" t="s">
        <v>231</v>
      </c>
      <c r="K97" t="str">
        <f>IF(COUNTIF($A$2:A97,A97)&gt;1, "Duplicate", "First Occurrence")</f>
        <v>First Occurrence</v>
      </c>
      <c r="L97" t="str">
        <f t="shared" si="5"/>
        <v>Consistent</v>
      </c>
      <c r="M97" t="str">
        <f t="shared" si="4"/>
        <v>Active</v>
      </c>
    </row>
    <row r="98" spans="1:13" x14ac:dyDescent="0.35">
      <c r="A98" s="2" t="s">
        <v>235</v>
      </c>
      <c r="B98" s="2" t="s">
        <v>236</v>
      </c>
      <c r="C98" s="2" t="s">
        <v>17</v>
      </c>
      <c r="D98" s="2" t="str">
        <f t="shared" si="6"/>
        <v>Finance</v>
      </c>
      <c r="E98" s="2" t="s">
        <v>57</v>
      </c>
      <c r="F98" s="3">
        <v>45879</v>
      </c>
      <c r="G98" s="2" t="s">
        <v>13</v>
      </c>
      <c r="H98" s="2" t="s">
        <v>14</v>
      </c>
      <c r="I98" s="2">
        <v>350000</v>
      </c>
      <c r="J98" s="2" t="s">
        <v>233</v>
      </c>
      <c r="K98" t="str">
        <f>IF(COUNTIF($A$2:A98,A98)&gt;1, "Duplicate", "First Occurrence")</f>
        <v>First Occurrence</v>
      </c>
      <c r="L98" t="str">
        <f t="shared" si="5"/>
        <v>Consistent</v>
      </c>
      <c r="M98" t="str">
        <f t="shared" si="4"/>
        <v>Active</v>
      </c>
    </row>
    <row r="99" spans="1:13" x14ac:dyDescent="0.35">
      <c r="A99" s="2" t="s">
        <v>237</v>
      </c>
      <c r="B99" s="2" t="s">
        <v>238</v>
      </c>
      <c r="C99" s="2" t="s">
        <v>11</v>
      </c>
      <c r="D99" s="2" t="str">
        <f t="shared" si="6"/>
        <v>Operations</v>
      </c>
      <c r="E99" s="2" t="s">
        <v>12</v>
      </c>
      <c r="F99" s="3">
        <v>45236</v>
      </c>
      <c r="G99" s="2" t="s">
        <v>13</v>
      </c>
      <c r="H99" s="2" t="s">
        <v>14</v>
      </c>
      <c r="I99" s="2">
        <v>300000</v>
      </c>
      <c r="J99" s="2" t="s">
        <v>235</v>
      </c>
      <c r="K99" t="str">
        <f>IF(COUNTIF($A$2:A99,A99)&gt;1, "Duplicate", "First Occurrence")</f>
        <v>First Occurrence</v>
      </c>
      <c r="L99" t="str">
        <f t="shared" si="5"/>
        <v>Consistent</v>
      </c>
      <c r="M99" t="str">
        <f t="shared" si="4"/>
        <v>Active</v>
      </c>
    </row>
    <row r="100" spans="1:13" x14ac:dyDescent="0.35">
      <c r="A100" s="2" t="s">
        <v>239</v>
      </c>
      <c r="B100" s="2" t="s">
        <v>240</v>
      </c>
      <c r="C100" s="2" t="s">
        <v>33</v>
      </c>
      <c r="D100" s="2" t="str">
        <f t="shared" si="6"/>
        <v>Sales</v>
      </c>
      <c r="E100" s="2" t="s">
        <v>100</v>
      </c>
      <c r="F100" s="3">
        <v>45048</v>
      </c>
      <c r="G100" s="2" t="s">
        <v>13</v>
      </c>
      <c r="H100" s="2" t="s">
        <v>14</v>
      </c>
      <c r="I100" s="2">
        <v>180000</v>
      </c>
      <c r="J100" s="2" t="s">
        <v>237</v>
      </c>
      <c r="K100" t="str">
        <f>IF(COUNTIF($A$2:A100,A100)&gt;1, "Duplicate", "First Occurrence")</f>
        <v>First Occurrence</v>
      </c>
      <c r="L100" t="str">
        <f t="shared" si="5"/>
        <v>Consistent</v>
      </c>
      <c r="M100" t="str">
        <f t="shared" si="4"/>
        <v>Active</v>
      </c>
    </row>
    <row r="101" spans="1:13" x14ac:dyDescent="0.35">
      <c r="A101" s="2" t="s">
        <v>241</v>
      </c>
      <c r="B101" s="2" t="s">
        <v>242</v>
      </c>
      <c r="C101" s="2" t="s">
        <v>22</v>
      </c>
      <c r="D101" s="2" t="str">
        <f t="shared" si="6"/>
        <v>IT</v>
      </c>
      <c r="E101" s="2" t="s">
        <v>23</v>
      </c>
      <c r="F101" s="3">
        <v>44887</v>
      </c>
      <c r="G101" s="2" t="s">
        <v>30</v>
      </c>
      <c r="H101" s="2" t="s">
        <v>19</v>
      </c>
      <c r="I101" s="2">
        <v>180000</v>
      </c>
      <c r="J101" s="2" t="s">
        <v>239</v>
      </c>
      <c r="K101" t="str">
        <f>IF(COUNTIF($A$2:A101,A101)&gt;1, "Duplicate", "First Occurrence")</f>
        <v>First Occurrence</v>
      </c>
      <c r="L101" t="str">
        <f t="shared" si="5"/>
        <v>Consistent</v>
      </c>
      <c r="M101" t="str">
        <f t="shared" si="4"/>
        <v>On Leave</v>
      </c>
    </row>
  </sheetData>
  <autoFilter ref="A1:M101" xr:uid="{9E3EB9B4-FD50-477A-BCB9-29691D7230C5}"/>
  <conditionalFormatting sqref="B2:B101">
    <cfRule type="duplicateValues" dxfId="0" priority="2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DE3D-5936-44A7-8F5B-15978182D0F7}">
  <dimension ref="A1:E4"/>
  <sheetViews>
    <sheetView workbookViewId="0">
      <selection activeCell="C20" sqref="C20"/>
    </sheetView>
  </sheetViews>
  <sheetFormatPr defaultRowHeight="14.5" x14ac:dyDescent="0.35"/>
  <cols>
    <col min="1" max="1" width="21.7265625" bestFit="1" customWidth="1"/>
    <col min="2" max="2" width="12.453125" bestFit="1" customWidth="1"/>
    <col min="3" max="3" width="17.81640625" bestFit="1" customWidth="1"/>
    <col min="4" max="4" width="19.90625" bestFit="1" customWidth="1"/>
    <col min="5" max="5" width="67.54296875" bestFit="1" customWidth="1"/>
  </cols>
  <sheetData>
    <row r="1" spans="1:5" x14ac:dyDescent="0.35">
      <c r="A1" s="5" t="s">
        <v>325</v>
      </c>
      <c r="B1" s="5" t="s">
        <v>326</v>
      </c>
      <c r="C1" s="5" t="s">
        <v>327</v>
      </c>
      <c r="D1" s="5" t="s">
        <v>328</v>
      </c>
      <c r="E1" s="5" t="s">
        <v>329</v>
      </c>
    </row>
    <row r="2" spans="1:5" x14ac:dyDescent="0.35">
      <c r="A2" t="s">
        <v>330</v>
      </c>
      <c r="B2" t="s">
        <v>54</v>
      </c>
      <c r="C2" t="s">
        <v>331</v>
      </c>
      <c r="D2" t="s">
        <v>332</v>
      </c>
      <c r="E2" t="s">
        <v>333</v>
      </c>
    </row>
    <row r="3" spans="1:5" x14ac:dyDescent="0.35">
      <c r="A3" t="s">
        <v>334</v>
      </c>
      <c r="B3" t="s">
        <v>44</v>
      </c>
      <c r="C3" t="s">
        <v>335</v>
      </c>
      <c r="D3" t="s">
        <v>336</v>
      </c>
      <c r="E3" t="s">
        <v>337</v>
      </c>
    </row>
    <row r="4" spans="1:5" x14ac:dyDescent="0.35">
      <c r="A4" t="s">
        <v>343</v>
      </c>
      <c r="C4" t="s">
        <v>344</v>
      </c>
      <c r="D4" t="s">
        <v>345</v>
      </c>
      <c r="E4" t="s">
        <v>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E6DDD-E7D2-40BD-B2EA-8B2F6661CF6B}">
  <dimension ref="A1:H43"/>
  <sheetViews>
    <sheetView topLeftCell="A38" workbookViewId="0">
      <selection activeCell="G42" sqref="G42"/>
    </sheetView>
  </sheetViews>
  <sheetFormatPr defaultRowHeight="14.5" x14ac:dyDescent="0.35"/>
  <cols>
    <col min="1" max="1" width="26.36328125" bestFit="1" customWidth="1"/>
    <col min="2" max="2" width="18.7265625" bestFit="1" customWidth="1"/>
    <col min="3" max="3" width="24.26953125" bestFit="1" customWidth="1"/>
    <col min="4" max="4" width="17.08984375" bestFit="1" customWidth="1"/>
    <col min="5" max="5" width="14.54296875" bestFit="1" customWidth="1"/>
  </cols>
  <sheetData>
    <row r="1" spans="1:5" x14ac:dyDescent="0.35">
      <c r="A1" s="5" t="s">
        <v>338</v>
      </c>
      <c r="B1" s="5" t="s">
        <v>339</v>
      </c>
      <c r="C1" s="5"/>
    </row>
    <row r="2" spans="1:5" x14ac:dyDescent="0.35">
      <c r="A2" t="s">
        <v>340</v>
      </c>
      <c r="B2">
        <f>COUNTIF(Employees_Cleaning!M:M,"Active")</f>
        <v>69</v>
      </c>
    </row>
    <row r="3" spans="1:5" x14ac:dyDescent="0.35">
      <c r="A3" t="s">
        <v>341</v>
      </c>
    </row>
    <row r="5" spans="1:5" x14ac:dyDescent="0.35">
      <c r="A5" s="5" t="s">
        <v>2</v>
      </c>
      <c r="B5" s="5" t="s">
        <v>342</v>
      </c>
      <c r="C5" s="5" t="s">
        <v>353</v>
      </c>
      <c r="D5" s="5" t="s">
        <v>347</v>
      </c>
      <c r="E5" s="5" t="s">
        <v>348</v>
      </c>
    </row>
    <row r="6" spans="1:5" x14ac:dyDescent="0.35">
      <c r="A6" t="s">
        <v>37</v>
      </c>
      <c r="B6">
        <f>COUNTIF(Employees_Cleaning!D:D,Workforce_Metrics!A6)</f>
        <v>18</v>
      </c>
      <c r="C6" s="7">
        <f>B6/100</f>
        <v>0.18</v>
      </c>
      <c r="D6" t="s">
        <v>13</v>
      </c>
      <c r="E6">
        <f>COUNTIF(Employees_Cleaning!M:M,Workforce_Metrics!D6)</f>
        <v>69</v>
      </c>
    </row>
    <row r="7" spans="1:5" x14ac:dyDescent="0.35">
      <c r="A7" t="s">
        <v>22</v>
      </c>
      <c r="B7">
        <f>COUNTIF(Employees_Cleaning!D:D,Workforce_Metrics!A7)</f>
        <v>15</v>
      </c>
      <c r="C7" s="7">
        <f t="shared" ref="C7:C11" si="0">B7/100</f>
        <v>0.15</v>
      </c>
      <c r="D7" t="s">
        <v>24</v>
      </c>
      <c r="E7">
        <f>COUNTIF(Employees_Cleaning!M:M,Workforce_Metrics!D7)</f>
        <v>13</v>
      </c>
    </row>
    <row r="8" spans="1:5" x14ac:dyDescent="0.35">
      <c r="A8" t="s">
        <v>17</v>
      </c>
      <c r="B8">
        <f>COUNTIF(Employees_Cleaning!D:D,Workforce_Metrics!A8)</f>
        <v>15</v>
      </c>
      <c r="C8" s="7">
        <f t="shared" si="0"/>
        <v>0.15</v>
      </c>
      <c r="D8" t="s">
        <v>30</v>
      </c>
      <c r="E8">
        <f>COUNTIF(Employees_Cleaning!M:M,Workforce_Metrics!D8)</f>
        <v>18</v>
      </c>
    </row>
    <row r="9" spans="1:5" x14ac:dyDescent="0.35">
      <c r="A9" t="s">
        <v>41</v>
      </c>
      <c r="B9">
        <f>COUNTIF(Employees_Cleaning!D:D,Workforce_Metrics!A9)</f>
        <v>22</v>
      </c>
      <c r="C9" s="7">
        <f t="shared" si="0"/>
        <v>0.22</v>
      </c>
      <c r="E9">
        <f>SUM(E6:E8)</f>
        <v>100</v>
      </c>
    </row>
    <row r="10" spans="1:5" x14ac:dyDescent="0.35">
      <c r="A10" t="s">
        <v>33</v>
      </c>
      <c r="B10">
        <f>COUNTIF(Employees_Cleaning!D:D,Workforce_Metrics!A10)</f>
        <v>14</v>
      </c>
      <c r="C10" s="7">
        <f t="shared" si="0"/>
        <v>0.14000000000000001</v>
      </c>
    </row>
    <row r="11" spans="1:5" x14ac:dyDescent="0.35">
      <c r="A11" t="s">
        <v>11</v>
      </c>
      <c r="B11">
        <f>COUNTIF(Employees_Cleaning!D:D,Workforce_Metrics!A11)</f>
        <v>15</v>
      </c>
      <c r="C11" s="7">
        <f t="shared" si="0"/>
        <v>0.15</v>
      </c>
    </row>
    <row r="12" spans="1:5" x14ac:dyDescent="0.35">
      <c r="B12">
        <f>SUM(B6:B11)</f>
        <v>99</v>
      </c>
    </row>
    <row r="14" spans="1:5" x14ac:dyDescent="0.35">
      <c r="A14" s="5" t="s">
        <v>354</v>
      </c>
    </row>
    <row r="15" spans="1:5" x14ac:dyDescent="0.35">
      <c r="A15" t="s">
        <v>355</v>
      </c>
      <c r="B15" t="s">
        <v>41</v>
      </c>
    </row>
    <row r="16" spans="1:5" x14ac:dyDescent="0.35">
      <c r="A16" t="s">
        <v>356</v>
      </c>
      <c r="B16" t="s">
        <v>33</v>
      </c>
    </row>
    <row r="17" spans="1:8" x14ac:dyDescent="0.35">
      <c r="A17" t="s">
        <v>334</v>
      </c>
      <c r="B17" t="s">
        <v>357</v>
      </c>
    </row>
    <row r="20" spans="1:8" x14ac:dyDescent="0.35">
      <c r="A20" s="5" t="s">
        <v>349</v>
      </c>
      <c r="B20" s="5" t="s">
        <v>339</v>
      </c>
    </row>
    <row r="21" spans="1:8" x14ac:dyDescent="0.35">
      <c r="A21" t="s">
        <v>350</v>
      </c>
      <c r="B21" s="6">
        <f>AVERAGE(Employees_Cleaning!I2:I101)</f>
        <v>340800</v>
      </c>
      <c r="C21" s="8"/>
    </row>
    <row r="22" spans="1:8" x14ac:dyDescent="0.35">
      <c r="A22" t="s">
        <v>351</v>
      </c>
      <c r="B22" s="6">
        <f>MAX(Employees_Cleaning!I2:I101)</f>
        <v>500000</v>
      </c>
    </row>
    <row r="23" spans="1:8" x14ac:dyDescent="0.35">
      <c r="A23" t="s">
        <v>352</v>
      </c>
      <c r="B23" s="6">
        <f>MIN(Employees_Cleaning!I2:I101)</f>
        <v>180000</v>
      </c>
    </row>
    <row r="27" spans="1:8" ht="21" x14ac:dyDescent="0.5">
      <c r="A27" s="15" t="s">
        <v>358</v>
      </c>
      <c r="B27" s="15"/>
      <c r="C27" s="15"/>
      <c r="D27" s="15"/>
      <c r="E27" s="15"/>
      <c r="F27" s="15"/>
      <c r="G27" s="15"/>
      <c r="H27" s="15"/>
    </row>
    <row r="28" spans="1:8" x14ac:dyDescent="0.35">
      <c r="A28" t="s">
        <v>359</v>
      </c>
      <c r="B28" t="s">
        <v>360</v>
      </c>
    </row>
    <row r="30" spans="1:8" x14ac:dyDescent="0.35">
      <c r="A30" t="s">
        <v>361</v>
      </c>
      <c r="B30" t="s">
        <v>362</v>
      </c>
    </row>
    <row r="31" spans="1:8" x14ac:dyDescent="0.35">
      <c r="A31" t="s">
        <v>363</v>
      </c>
      <c r="B31" t="s">
        <v>364</v>
      </c>
    </row>
    <row r="32" spans="1:8" x14ac:dyDescent="0.35">
      <c r="A32" t="s">
        <v>365</v>
      </c>
      <c r="B32" t="s">
        <v>366</v>
      </c>
    </row>
    <row r="33" spans="1:8" x14ac:dyDescent="0.35">
      <c r="A33" t="s">
        <v>367</v>
      </c>
      <c r="B33" s="8">
        <v>340800</v>
      </c>
    </row>
    <row r="34" spans="1:8" x14ac:dyDescent="0.35">
      <c r="A34" t="s">
        <v>368</v>
      </c>
      <c r="B34" s="16" t="s">
        <v>369</v>
      </c>
      <c r="C34" s="16"/>
    </row>
    <row r="35" spans="1:8" x14ac:dyDescent="0.35">
      <c r="A35" t="s">
        <v>370</v>
      </c>
      <c r="B35" s="16" t="s">
        <v>371</v>
      </c>
      <c r="C35" s="16"/>
      <c r="D35" s="16"/>
    </row>
    <row r="36" spans="1:8" x14ac:dyDescent="0.35">
      <c r="A36" t="s">
        <v>372</v>
      </c>
      <c r="B36" t="s">
        <v>373</v>
      </c>
    </row>
    <row r="37" spans="1:8" x14ac:dyDescent="0.35">
      <c r="B37" s="16" t="s">
        <v>374</v>
      </c>
      <c r="C37" s="16"/>
      <c r="D37" s="16"/>
      <c r="E37" s="16"/>
      <c r="F37" s="16"/>
      <c r="G37" s="16"/>
      <c r="H37" s="16"/>
    </row>
    <row r="39" spans="1:8" x14ac:dyDescent="0.35">
      <c r="A39" s="5" t="s">
        <v>375</v>
      </c>
      <c r="B39" s="16" t="s">
        <v>376</v>
      </c>
      <c r="C39" s="16"/>
      <c r="D39" s="16"/>
      <c r="E39" s="16"/>
      <c r="F39" s="16"/>
      <c r="G39" s="16"/>
      <c r="H39" s="16"/>
    </row>
    <row r="40" spans="1:8" x14ac:dyDescent="0.35">
      <c r="B40" t="s">
        <v>377</v>
      </c>
    </row>
    <row r="42" spans="1:8" ht="43.5" x14ac:dyDescent="0.35">
      <c r="A42" s="12" t="s">
        <v>379</v>
      </c>
      <c r="C42" s="12" t="s">
        <v>380</v>
      </c>
      <c r="E42" s="13" t="s">
        <v>381</v>
      </c>
      <c r="G42" s="13" t="s">
        <v>382</v>
      </c>
    </row>
    <row r="43" spans="1:8" ht="18.5" x14ac:dyDescent="0.45">
      <c r="A43" s="10">
        <f>COUNTA(Employees_Cleaning!A2:A101)</f>
        <v>100</v>
      </c>
      <c r="C43" s="10">
        <f>COUNTIF(Employees_Cleaning!M2:M101,"Active")</f>
        <v>69</v>
      </c>
      <c r="E43" s="11">
        <f>AVERAGE(Employees_Cleaning!I2:I101)</f>
        <v>340800</v>
      </c>
      <c r="G43" s="10">
        <f>COUNTBLANK(Employees_Cleaning!C2:C101)</f>
        <v>1</v>
      </c>
    </row>
  </sheetData>
  <mergeCells count="5">
    <mergeCell ref="A27:H27"/>
    <mergeCell ref="B34:C34"/>
    <mergeCell ref="B35:D35"/>
    <mergeCell ref="B37:H37"/>
    <mergeCell ref="B39:H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F4AB-CC94-4E06-9B95-ACCB3099269B}">
  <dimension ref="A1:L2"/>
  <sheetViews>
    <sheetView topLeftCell="A19" workbookViewId="0">
      <selection activeCell="A2" sqref="A2:L2"/>
    </sheetView>
  </sheetViews>
  <sheetFormatPr defaultRowHeight="14.5" x14ac:dyDescent="0.35"/>
  <cols>
    <col min="1" max="1" width="18.26953125" customWidth="1"/>
    <col min="3" max="3" width="18.7265625" customWidth="1"/>
    <col min="5" max="5" width="18.1796875" customWidth="1"/>
    <col min="7" max="7" width="15.26953125" customWidth="1"/>
  </cols>
  <sheetData>
    <row r="1" spans="1:12" ht="26" x14ac:dyDescent="0.6">
      <c r="A1" s="17" t="s">
        <v>378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5.5" x14ac:dyDescent="0.35">
      <c r="A2" s="18" t="s">
        <v>383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</sheetData>
  <mergeCells count="2">
    <mergeCell ref="A1:L1"/>
    <mergeCell ref="A2:L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01"/>
  <sheetViews>
    <sheetView workbookViewId="0">
      <pane ySplit="1" topLeftCell="A2" activePane="bottomLeft" state="frozen"/>
      <selection pane="bottomLeft" activeCell="C19" sqref="C19"/>
    </sheetView>
  </sheetViews>
  <sheetFormatPr defaultRowHeight="14.5" x14ac:dyDescent="0.35"/>
  <cols>
    <col min="1" max="1" width="12" customWidth="1"/>
    <col min="2" max="2" width="21" customWidth="1"/>
    <col min="3" max="4" width="18" customWidth="1"/>
  </cols>
  <sheetData>
    <row r="1" spans="1:4" ht="30" customHeight="1" x14ac:dyDescent="0.35">
      <c r="A1" s="1" t="s">
        <v>0</v>
      </c>
      <c r="B1" s="1" t="s">
        <v>243</v>
      </c>
      <c r="C1" s="1" t="s">
        <v>244</v>
      </c>
      <c r="D1" s="1" t="s">
        <v>2</v>
      </c>
    </row>
    <row r="2" spans="1:4" x14ac:dyDescent="0.35">
      <c r="A2" s="2" t="s">
        <v>9</v>
      </c>
      <c r="B2" s="3">
        <v>46281</v>
      </c>
      <c r="C2" s="2" t="s">
        <v>245</v>
      </c>
      <c r="D2" s="2" t="s">
        <v>11</v>
      </c>
    </row>
    <row r="3" spans="1:4" x14ac:dyDescent="0.35">
      <c r="A3" s="2" t="s">
        <v>9</v>
      </c>
      <c r="B3" s="3">
        <v>46295</v>
      </c>
      <c r="C3" s="2" t="s">
        <v>30</v>
      </c>
      <c r="D3" s="2" t="s">
        <v>11</v>
      </c>
    </row>
    <row r="4" spans="1:4" x14ac:dyDescent="0.35">
      <c r="A4" s="2" t="s">
        <v>9</v>
      </c>
      <c r="B4" s="3">
        <v>46294</v>
      </c>
      <c r="C4" s="2" t="s">
        <v>245</v>
      </c>
      <c r="D4" s="2" t="s">
        <v>11</v>
      </c>
    </row>
    <row r="5" spans="1:4" x14ac:dyDescent="0.35">
      <c r="A5" s="2" t="s">
        <v>9</v>
      </c>
      <c r="B5" s="3">
        <v>46276</v>
      </c>
      <c r="C5" s="2" t="s">
        <v>246</v>
      </c>
      <c r="D5" s="2" t="s">
        <v>11</v>
      </c>
    </row>
    <row r="6" spans="1:4" x14ac:dyDescent="0.35">
      <c r="A6" s="2" t="s">
        <v>9</v>
      </c>
      <c r="B6" s="3">
        <v>46255</v>
      </c>
      <c r="C6" s="2" t="s">
        <v>246</v>
      </c>
      <c r="D6" s="2" t="s">
        <v>11</v>
      </c>
    </row>
    <row r="7" spans="1:4" x14ac:dyDescent="0.35">
      <c r="A7" s="2" t="s">
        <v>9</v>
      </c>
      <c r="B7" s="3">
        <v>46233</v>
      </c>
      <c r="C7" s="2" t="s">
        <v>247</v>
      </c>
      <c r="D7" s="2" t="s">
        <v>11</v>
      </c>
    </row>
    <row r="8" spans="1:4" x14ac:dyDescent="0.35">
      <c r="A8" s="2" t="s">
        <v>9</v>
      </c>
      <c r="B8" s="3">
        <v>46272</v>
      </c>
      <c r="C8" s="2" t="s">
        <v>247</v>
      </c>
      <c r="D8" s="2" t="s">
        <v>11</v>
      </c>
    </row>
    <row r="9" spans="1:4" x14ac:dyDescent="0.35">
      <c r="A9" s="2" t="s">
        <v>9</v>
      </c>
      <c r="B9" s="3">
        <v>46230</v>
      </c>
      <c r="C9" s="2" t="s">
        <v>246</v>
      </c>
      <c r="D9" s="2" t="s">
        <v>11</v>
      </c>
    </row>
    <row r="10" spans="1:4" x14ac:dyDescent="0.35">
      <c r="A10" s="2" t="s">
        <v>9</v>
      </c>
      <c r="B10" s="3">
        <v>46241</v>
      </c>
      <c r="C10" s="2" t="s">
        <v>245</v>
      </c>
      <c r="D10" s="2" t="s">
        <v>11</v>
      </c>
    </row>
    <row r="11" spans="1:4" x14ac:dyDescent="0.35">
      <c r="A11" s="2" t="s">
        <v>9</v>
      </c>
      <c r="B11" s="3">
        <v>46266</v>
      </c>
      <c r="C11" s="2" t="s">
        <v>246</v>
      </c>
      <c r="D11" s="2" t="s">
        <v>11</v>
      </c>
    </row>
    <row r="12" spans="1:4" x14ac:dyDescent="0.35">
      <c r="A12" s="2" t="s">
        <v>9</v>
      </c>
      <c r="B12" s="3">
        <v>46211</v>
      </c>
      <c r="C12" s="2" t="s">
        <v>245</v>
      </c>
      <c r="D12" s="2" t="s">
        <v>11</v>
      </c>
    </row>
    <row r="13" spans="1:4" x14ac:dyDescent="0.35">
      <c r="A13" s="2" t="s">
        <v>9</v>
      </c>
      <c r="B13" s="3">
        <v>46231</v>
      </c>
      <c r="C13" s="2" t="s">
        <v>246</v>
      </c>
      <c r="D13" s="2" t="s">
        <v>11</v>
      </c>
    </row>
    <row r="14" spans="1:4" x14ac:dyDescent="0.35">
      <c r="A14" s="2" t="s">
        <v>15</v>
      </c>
      <c r="B14" s="3">
        <v>46272</v>
      </c>
      <c r="C14" s="2" t="s">
        <v>30</v>
      </c>
      <c r="D14" s="2" t="s">
        <v>17</v>
      </c>
    </row>
    <row r="15" spans="1:4" x14ac:dyDescent="0.35">
      <c r="A15" s="2" t="s">
        <v>15</v>
      </c>
      <c r="B15" s="3">
        <v>46241</v>
      </c>
      <c r="C15" s="2" t="s">
        <v>246</v>
      </c>
      <c r="D15" s="2" t="s">
        <v>17</v>
      </c>
    </row>
    <row r="16" spans="1:4" x14ac:dyDescent="0.35">
      <c r="A16" s="2" t="s">
        <v>15</v>
      </c>
      <c r="B16" s="3">
        <v>46290</v>
      </c>
      <c r="C16" s="2" t="s">
        <v>245</v>
      </c>
      <c r="D16" s="2" t="s">
        <v>17</v>
      </c>
    </row>
    <row r="17" spans="1:4" x14ac:dyDescent="0.35">
      <c r="A17" s="2" t="s">
        <v>15</v>
      </c>
      <c r="B17" s="3">
        <v>46237</v>
      </c>
      <c r="C17" s="2" t="s">
        <v>246</v>
      </c>
      <c r="D17" s="2" t="s">
        <v>17</v>
      </c>
    </row>
    <row r="18" spans="1:4" x14ac:dyDescent="0.35">
      <c r="A18" s="2" t="s">
        <v>15</v>
      </c>
      <c r="B18" s="3">
        <v>46232</v>
      </c>
      <c r="C18" s="2" t="s">
        <v>246</v>
      </c>
      <c r="D18" s="2" t="s">
        <v>17</v>
      </c>
    </row>
    <row r="19" spans="1:4" x14ac:dyDescent="0.35">
      <c r="A19" s="2" t="s">
        <v>15</v>
      </c>
      <c r="B19" s="3">
        <v>46245</v>
      </c>
      <c r="C19" s="2" t="s">
        <v>246</v>
      </c>
      <c r="D19" s="2" t="s">
        <v>17</v>
      </c>
    </row>
    <row r="20" spans="1:4" x14ac:dyDescent="0.35">
      <c r="A20" s="2" t="s">
        <v>15</v>
      </c>
      <c r="B20" s="3">
        <v>46281</v>
      </c>
      <c r="C20" s="2" t="s">
        <v>30</v>
      </c>
      <c r="D20" s="2" t="s">
        <v>17</v>
      </c>
    </row>
    <row r="21" spans="1:4" x14ac:dyDescent="0.35">
      <c r="A21" s="2" t="s">
        <v>15</v>
      </c>
      <c r="B21" s="3">
        <v>46253</v>
      </c>
      <c r="C21" s="2" t="s">
        <v>247</v>
      </c>
      <c r="D21" s="2" t="s">
        <v>17</v>
      </c>
    </row>
    <row r="22" spans="1:4" x14ac:dyDescent="0.35">
      <c r="A22" s="2" t="s">
        <v>15</v>
      </c>
      <c r="B22" s="3">
        <v>46248</v>
      </c>
      <c r="C22" s="2" t="s">
        <v>30</v>
      </c>
      <c r="D22" s="2" t="s">
        <v>17</v>
      </c>
    </row>
    <row r="23" spans="1:4" x14ac:dyDescent="0.35">
      <c r="A23" s="2" t="s">
        <v>15</v>
      </c>
      <c r="B23" s="3">
        <v>46287</v>
      </c>
      <c r="C23" s="2" t="s">
        <v>246</v>
      </c>
      <c r="D23" s="2" t="s">
        <v>17</v>
      </c>
    </row>
    <row r="24" spans="1:4" x14ac:dyDescent="0.35">
      <c r="A24" s="2" t="s">
        <v>15</v>
      </c>
      <c r="B24" s="3">
        <v>46247</v>
      </c>
      <c r="C24" s="2" t="s">
        <v>245</v>
      </c>
      <c r="D24" s="2" t="s">
        <v>17</v>
      </c>
    </row>
    <row r="25" spans="1:4" x14ac:dyDescent="0.35">
      <c r="A25" s="2" t="s">
        <v>15</v>
      </c>
      <c r="B25" s="3">
        <v>46254</v>
      </c>
      <c r="C25" s="2" t="s">
        <v>247</v>
      </c>
      <c r="D25" s="2" t="s">
        <v>17</v>
      </c>
    </row>
    <row r="26" spans="1:4" x14ac:dyDescent="0.35">
      <c r="A26" s="2" t="s">
        <v>20</v>
      </c>
      <c r="B26" s="3">
        <v>46240</v>
      </c>
      <c r="C26" s="2" t="s">
        <v>246</v>
      </c>
      <c r="D26" s="2" t="s">
        <v>22</v>
      </c>
    </row>
    <row r="27" spans="1:4" x14ac:dyDescent="0.35">
      <c r="A27" s="2" t="s">
        <v>20</v>
      </c>
      <c r="B27" s="3">
        <v>46258</v>
      </c>
      <c r="C27" s="2" t="s">
        <v>247</v>
      </c>
      <c r="D27" s="2" t="s">
        <v>22</v>
      </c>
    </row>
    <row r="28" spans="1:4" x14ac:dyDescent="0.35">
      <c r="A28" s="2" t="s">
        <v>20</v>
      </c>
      <c r="B28" s="3">
        <v>46276</v>
      </c>
      <c r="C28" s="2" t="s">
        <v>247</v>
      </c>
      <c r="D28" s="2" t="s">
        <v>22</v>
      </c>
    </row>
    <row r="29" spans="1:4" x14ac:dyDescent="0.35">
      <c r="A29" s="2" t="s">
        <v>20</v>
      </c>
      <c r="B29" s="3">
        <v>46233</v>
      </c>
      <c r="C29" s="2" t="s">
        <v>246</v>
      </c>
      <c r="D29" s="2" t="s">
        <v>22</v>
      </c>
    </row>
    <row r="30" spans="1:4" x14ac:dyDescent="0.35">
      <c r="A30" s="2" t="s">
        <v>20</v>
      </c>
      <c r="B30" s="3">
        <v>46280</v>
      </c>
      <c r="C30" s="2" t="s">
        <v>30</v>
      </c>
      <c r="D30" s="2" t="s">
        <v>22</v>
      </c>
    </row>
    <row r="31" spans="1:4" x14ac:dyDescent="0.35">
      <c r="A31" s="2" t="s">
        <v>20</v>
      </c>
      <c r="B31" s="3">
        <v>46273</v>
      </c>
      <c r="C31" s="2" t="s">
        <v>246</v>
      </c>
      <c r="D31" s="2" t="s">
        <v>22</v>
      </c>
    </row>
    <row r="32" spans="1:4" x14ac:dyDescent="0.35">
      <c r="A32" s="2" t="s">
        <v>20</v>
      </c>
      <c r="B32" s="3">
        <v>46287</v>
      </c>
      <c r="C32" s="2" t="s">
        <v>246</v>
      </c>
      <c r="D32" s="2" t="s">
        <v>22</v>
      </c>
    </row>
    <row r="33" spans="1:4" x14ac:dyDescent="0.35">
      <c r="A33" s="2" t="s">
        <v>20</v>
      </c>
      <c r="B33" s="3">
        <v>46212</v>
      </c>
      <c r="C33" s="2" t="s">
        <v>246</v>
      </c>
      <c r="D33" s="2" t="s">
        <v>22</v>
      </c>
    </row>
    <row r="34" spans="1:4" x14ac:dyDescent="0.35">
      <c r="A34" s="2" t="s">
        <v>20</v>
      </c>
      <c r="B34" s="3">
        <v>46251</v>
      </c>
      <c r="C34" s="2" t="s">
        <v>246</v>
      </c>
      <c r="D34" s="2" t="s">
        <v>22</v>
      </c>
    </row>
    <row r="35" spans="1:4" x14ac:dyDescent="0.35">
      <c r="A35" s="2" t="s">
        <v>20</v>
      </c>
      <c r="B35" s="3">
        <v>46274</v>
      </c>
      <c r="C35" s="2" t="s">
        <v>247</v>
      </c>
      <c r="D35" s="2" t="s">
        <v>22</v>
      </c>
    </row>
    <row r="36" spans="1:4" x14ac:dyDescent="0.35">
      <c r="A36" s="2" t="s">
        <v>20</v>
      </c>
      <c r="B36" s="3">
        <v>46205</v>
      </c>
      <c r="C36" s="2" t="s">
        <v>246</v>
      </c>
      <c r="D36" s="2" t="s">
        <v>22</v>
      </c>
    </row>
    <row r="37" spans="1:4" x14ac:dyDescent="0.35">
      <c r="A37" s="2" t="s">
        <v>20</v>
      </c>
      <c r="B37" s="3">
        <v>46211</v>
      </c>
      <c r="C37" s="2" t="s">
        <v>246</v>
      </c>
      <c r="D37" s="2" t="s">
        <v>22</v>
      </c>
    </row>
    <row r="38" spans="1:4" x14ac:dyDescent="0.35">
      <c r="A38" s="2" t="s">
        <v>25</v>
      </c>
      <c r="B38" s="3">
        <v>46258</v>
      </c>
      <c r="C38" s="2" t="s">
        <v>245</v>
      </c>
      <c r="D38" s="2" t="s">
        <v>11</v>
      </c>
    </row>
    <row r="39" spans="1:4" x14ac:dyDescent="0.35">
      <c r="A39" s="2" t="s">
        <v>25</v>
      </c>
      <c r="B39" s="3">
        <v>46288</v>
      </c>
      <c r="C39" s="2" t="s">
        <v>246</v>
      </c>
      <c r="D39" s="2" t="s">
        <v>11</v>
      </c>
    </row>
    <row r="40" spans="1:4" x14ac:dyDescent="0.35">
      <c r="A40" s="2" t="s">
        <v>25</v>
      </c>
      <c r="B40" s="3">
        <v>46224</v>
      </c>
      <c r="C40" s="2" t="s">
        <v>30</v>
      </c>
      <c r="D40" s="2" t="s">
        <v>11</v>
      </c>
    </row>
    <row r="41" spans="1:4" x14ac:dyDescent="0.35">
      <c r="A41" s="2" t="s">
        <v>25</v>
      </c>
      <c r="B41" s="3">
        <v>46295</v>
      </c>
      <c r="C41" s="2" t="s">
        <v>246</v>
      </c>
      <c r="D41" s="2" t="s">
        <v>11</v>
      </c>
    </row>
    <row r="42" spans="1:4" x14ac:dyDescent="0.35">
      <c r="A42" s="2" t="s">
        <v>25</v>
      </c>
      <c r="B42" s="3">
        <v>46244</v>
      </c>
      <c r="C42" s="2" t="s">
        <v>246</v>
      </c>
      <c r="D42" s="2" t="s">
        <v>11</v>
      </c>
    </row>
    <row r="43" spans="1:4" x14ac:dyDescent="0.35">
      <c r="A43" s="2" t="s">
        <v>25</v>
      </c>
      <c r="B43" s="3">
        <v>46267</v>
      </c>
      <c r="C43" s="2" t="s">
        <v>246</v>
      </c>
      <c r="D43" s="2" t="s">
        <v>11</v>
      </c>
    </row>
    <row r="44" spans="1:4" x14ac:dyDescent="0.35">
      <c r="A44" s="2" t="s">
        <v>25</v>
      </c>
      <c r="B44" s="3">
        <v>46238</v>
      </c>
      <c r="C44" s="2" t="s">
        <v>30</v>
      </c>
      <c r="D44" s="2" t="s">
        <v>11</v>
      </c>
    </row>
    <row r="45" spans="1:4" x14ac:dyDescent="0.35">
      <c r="A45" s="2" t="s">
        <v>25</v>
      </c>
      <c r="B45" s="3">
        <v>46279</v>
      </c>
      <c r="C45" s="2" t="s">
        <v>246</v>
      </c>
      <c r="D45" s="2" t="s">
        <v>11</v>
      </c>
    </row>
    <row r="46" spans="1:4" x14ac:dyDescent="0.35">
      <c r="A46" s="2" t="s">
        <v>25</v>
      </c>
      <c r="B46" s="3">
        <v>46261</v>
      </c>
      <c r="C46" s="2" t="s">
        <v>246</v>
      </c>
      <c r="D46" s="2" t="s">
        <v>11</v>
      </c>
    </row>
    <row r="47" spans="1:4" x14ac:dyDescent="0.35">
      <c r="A47" s="2" t="s">
        <v>25</v>
      </c>
      <c r="B47" s="3">
        <v>46247</v>
      </c>
      <c r="C47" s="2" t="s">
        <v>246</v>
      </c>
      <c r="D47" s="2" t="s">
        <v>11</v>
      </c>
    </row>
    <row r="48" spans="1:4" x14ac:dyDescent="0.35">
      <c r="A48" s="2" t="s">
        <v>25</v>
      </c>
      <c r="B48" s="3">
        <v>46294</v>
      </c>
      <c r="C48" s="2" t="s">
        <v>245</v>
      </c>
      <c r="D48" s="2" t="s">
        <v>11</v>
      </c>
    </row>
    <row r="49" spans="1:4" x14ac:dyDescent="0.35">
      <c r="A49" s="2" t="s">
        <v>25</v>
      </c>
      <c r="B49" s="3">
        <v>46287</v>
      </c>
      <c r="C49" s="2" t="s">
        <v>246</v>
      </c>
      <c r="D49" s="2" t="s">
        <v>11</v>
      </c>
    </row>
    <row r="50" spans="1:4" x14ac:dyDescent="0.35">
      <c r="A50" s="2" t="s">
        <v>28</v>
      </c>
      <c r="B50" s="3">
        <v>46267</v>
      </c>
      <c r="C50" s="2" t="s">
        <v>246</v>
      </c>
      <c r="D50" s="2" t="s">
        <v>11</v>
      </c>
    </row>
    <row r="51" spans="1:4" x14ac:dyDescent="0.35">
      <c r="A51" s="2" t="s">
        <v>28</v>
      </c>
      <c r="B51" s="3">
        <v>46252</v>
      </c>
      <c r="C51" s="2" t="s">
        <v>245</v>
      </c>
      <c r="D51" s="2" t="s">
        <v>11</v>
      </c>
    </row>
    <row r="52" spans="1:4" x14ac:dyDescent="0.35">
      <c r="A52" s="2" t="s">
        <v>28</v>
      </c>
      <c r="B52" s="3">
        <v>46254</v>
      </c>
      <c r="C52" s="2" t="s">
        <v>246</v>
      </c>
      <c r="D52" s="2" t="s">
        <v>11</v>
      </c>
    </row>
    <row r="53" spans="1:4" x14ac:dyDescent="0.35">
      <c r="A53" s="2" t="s">
        <v>28</v>
      </c>
      <c r="B53" s="3">
        <v>46233</v>
      </c>
      <c r="C53" s="2" t="s">
        <v>246</v>
      </c>
      <c r="D53" s="2" t="s">
        <v>11</v>
      </c>
    </row>
    <row r="54" spans="1:4" x14ac:dyDescent="0.35">
      <c r="A54" s="2" t="s">
        <v>28</v>
      </c>
      <c r="B54" s="3">
        <v>46259</v>
      </c>
      <c r="C54" s="2" t="s">
        <v>246</v>
      </c>
      <c r="D54" s="2" t="s">
        <v>11</v>
      </c>
    </row>
    <row r="55" spans="1:4" x14ac:dyDescent="0.35">
      <c r="A55" s="2" t="s">
        <v>28</v>
      </c>
      <c r="B55" s="3">
        <v>46275</v>
      </c>
      <c r="C55" s="2" t="s">
        <v>247</v>
      </c>
      <c r="D55" s="2" t="s">
        <v>11</v>
      </c>
    </row>
    <row r="56" spans="1:4" x14ac:dyDescent="0.35">
      <c r="A56" s="2" t="s">
        <v>28</v>
      </c>
      <c r="B56" s="3">
        <v>46295</v>
      </c>
      <c r="C56" s="2" t="s">
        <v>245</v>
      </c>
      <c r="D56" s="2" t="s">
        <v>11</v>
      </c>
    </row>
    <row r="57" spans="1:4" x14ac:dyDescent="0.35">
      <c r="A57" s="2" t="s">
        <v>28</v>
      </c>
      <c r="B57" s="3">
        <v>46212</v>
      </c>
      <c r="C57" s="2" t="s">
        <v>30</v>
      </c>
      <c r="D57" s="2" t="s">
        <v>11</v>
      </c>
    </row>
    <row r="58" spans="1:4" x14ac:dyDescent="0.35">
      <c r="A58" s="2" t="s">
        <v>28</v>
      </c>
      <c r="B58" s="3">
        <v>46258</v>
      </c>
      <c r="C58" s="2" t="s">
        <v>30</v>
      </c>
      <c r="D58" s="2" t="s">
        <v>11</v>
      </c>
    </row>
    <row r="59" spans="1:4" x14ac:dyDescent="0.35">
      <c r="A59" s="2" t="s">
        <v>28</v>
      </c>
      <c r="B59" s="3">
        <v>46276</v>
      </c>
      <c r="C59" s="2" t="s">
        <v>246</v>
      </c>
      <c r="D59" s="2" t="s">
        <v>11</v>
      </c>
    </row>
    <row r="60" spans="1:4" x14ac:dyDescent="0.35">
      <c r="A60" s="2" t="s">
        <v>28</v>
      </c>
      <c r="B60" s="3">
        <v>46224</v>
      </c>
      <c r="C60" s="2" t="s">
        <v>245</v>
      </c>
      <c r="D60" s="2" t="s">
        <v>11</v>
      </c>
    </row>
    <row r="61" spans="1:4" x14ac:dyDescent="0.35">
      <c r="A61" s="2" t="s">
        <v>28</v>
      </c>
      <c r="B61" s="3">
        <v>46272</v>
      </c>
      <c r="C61" s="2" t="s">
        <v>30</v>
      </c>
      <c r="D61" s="2" t="s">
        <v>11</v>
      </c>
    </row>
    <row r="62" spans="1:4" x14ac:dyDescent="0.35">
      <c r="A62" s="2" t="s">
        <v>31</v>
      </c>
      <c r="B62" s="3">
        <v>46247</v>
      </c>
      <c r="C62" s="2" t="s">
        <v>30</v>
      </c>
      <c r="D62" s="2" t="s">
        <v>33</v>
      </c>
    </row>
    <row r="63" spans="1:4" x14ac:dyDescent="0.35">
      <c r="A63" s="2" t="s">
        <v>31</v>
      </c>
      <c r="B63" s="3">
        <v>46293</v>
      </c>
      <c r="C63" s="2" t="s">
        <v>245</v>
      </c>
      <c r="D63" s="2" t="s">
        <v>33</v>
      </c>
    </row>
    <row r="64" spans="1:4" x14ac:dyDescent="0.35">
      <c r="A64" s="2" t="s">
        <v>31</v>
      </c>
      <c r="B64" s="3">
        <v>46253</v>
      </c>
      <c r="C64" s="2" t="s">
        <v>30</v>
      </c>
      <c r="D64" s="2" t="s">
        <v>33</v>
      </c>
    </row>
    <row r="65" spans="1:4" x14ac:dyDescent="0.35">
      <c r="A65" s="2" t="s">
        <v>31</v>
      </c>
      <c r="B65" s="3">
        <v>46230</v>
      </c>
      <c r="C65" s="2" t="s">
        <v>246</v>
      </c>
      <c r="D65" s="2" t="s">
        <v>33</v>
      </c>
    </row>
    <row r="66" spans="1:4" x14ac:dyDescent="0.35">
      <c r="A66" s="2" t="s">
        <v>31</v>
      </c>
      <c r="B66" s="3">
        <v>46245</v>
      </c>
      <c r="C66" s="2" t="s">
        <v>30</v>
      </c>
      <c r="D66" s="2" t="s">
        <v>33</v>
      </c>
    </row>
    <row r="67" spans="1:4" x14ac:dyDescent="0.35">
      <c r="A67" s="2" t="s">
        <v>31</v>
      </c>
      <c r="B67" s="3">
        <v>46287</v>
      </c>
      <c r="C67" s="2" t="s">
        <v>30</v>
      </c>
      <c r="D67" s="2" t="s">
        <v>33</v>
      </c>
    </row>
    <row r="68" spans="1:4" x14ac:dyDescent="0.35">
      <c r="A68" s="2" t="s">
        <v>31</v>
      </c>
      <c r="B68" s="3">
        <v>46204</v>
      </c>
      <c r="C68" s="2" t="s">
        <v>30</v>
      </c>
      <c r="D68" s="2" t="s">
        <v>33</v>
      </c>
    </row>
    <row r="69" spans="1:4" x14ac:dyDescent="0.35">
      <c r="A69" s="2" t="s">
        <v>31</v>
      </c>
      <c r="B69" s="3">
        <v>46225</v>
      </c>
      <c r="C69" s="2" t="s">
        <v>246</v>
      </c>
      <c r="D69" s="2" t="s">
        <v>33</v>
      </c>
    </row>
    <row r="70" spans="1:4" x14ac:dyDescent="0.35">
      <c r="A70" s="2" t="s">
        <v>31</v>
      </c>
      <c r="B70" s="3">
        <v>46282</v>
      </c>
      <c r="C70" s="2" t="s">
        <v>246</v>
      </c>
      <c r="D70" s="2" t="s">
        <v>33</v>
      </c>
    </row>
    <row r="71" spans="1:4" x14ac:dyDescent="0.35">
      <c r="A71" s="2" t="s">
        <v>31</v>
      </c>
      <c r="B71" s="3">
        <v>46232</v>
      </c>
      <c r="C71" s="2" t="s">
        <v>246</v>
      </c>
      <c r="D71" s="2" t="s">
        <v>33</v>
      </c>
    </row>
    <row r="72" spans="1:4" x14ac:dyDescent="0.35">
      <c r="A72" s="2" t="s">
        <v>31</v>
      </c>
      <c r="B72" s="3">
        <v>46218</v>
      </c>
      <c r="C72" s="2" t="s">
        <v>247</v>
      </c>
      <c r="D72" s="2" t="s">
        <v>33</v>
      </c>
    </row>
    <row r="73" spans="1:4" x14ac:dyDescent="0.35">
      <c r="A73" s="2" t="s">
        <v>31</v>
      </c>
      <c r="B73" s="3">
        <v>46237</v>
      </c>
      <c r="C73" s="2" t="s">
        <v>245</v>
      </c>
      <c r="D73" s="2" t="s">
        <v>33</v>
      </c>
    </row>
    <row r="74" spans="1:4" x14ac:dyDescent="0.35">
      <c r="A74" s="2" t="s">
        <v>35</v>
      </c>
      <c r="B74" s="3">
        <v>46276</v>
      </c>
      <c r="C74" s="2" t="s">
        <v>245</v>
      </c>
      <c r="D74" s="2" t="s">
        <v>37</v>
      </c>
    </row>
    <row r="75" spans="1:4" x14ac:dyDescent="0.35">
      <c r="A75" s="2" t="s">
        <v>35</v>
      </c>
      <c r="B75" s="3">
        <v>46232</v>
      </c>
      <c r="C75" s="2" t="s">
        <v>246</v>
      </c>
      <c r="D75" s="2" t="s">
        <v>37</v>
      </c>
    </row>
    <row r="76" spans="1:4" x14ac:dyDescent="0.35">
      <c r="A76" s="2" t="s">
        <v>35</v>
      </c>
      <c r="B76" s="3">
        <v>46225</v>
      </c>
      <c r="C76" s="2" t="s">
        <v>30</v>
      </c>
      <c r="D76" s="2" t="s">
        <v>37</v>
      </c>
    </row>
    <row r="77" spans="1:4" x14ac:dyDescent="0.35">
      <c r="A77" s="2" t="s">
        <v>35</v>
      </c>
      <c r="B77" s="3">
        <v>46238</v>
      </c>
      <c r="C77" s="2" t="s">
        <v>247</v>
      </c>
      <c r="D77" s="2" t="s">
        <v>37</v>
      </c>
    </row>
    <row r="78" spans="1:4" x14ac:dyDescent="0.35">
      <c r="A78" s="2" t="s">
        <v>35</v>
      </c>
      <c r="B78" s="3">
        <v>46244</v>
      </c>
      <c r="C78" s="2" t="s">
        <v>246</v>
      </c>
      <c r="D78" s="2" t="s">
        <v>37</v>
      </c>
    </row>
    <row r="79" spans="1:4" x14ac:dyDescent="0.35">
      <c r="A79" s="2" t="s">
        <v>35</v>
      </c>
      <c r="B79" s="3">
        <v>46289</v>
      </c>
      <c r="C79" s="2" t="s">
        <v>246</v>
      </c>
      <c r="D79" s="2" t="s">
        <v>37</v>
      </c>
    </row>
    <row r="80" spans="1:4" x14ac:dyDescent="0.35">
      <c r="A80" s="2" t="s">
        <v>35</v>
      </c>
      <c r="B80" s="3">
        <v>46212</v>
      </c>
      <c r="C80" s="2" t="s">
        <v>246</v>
      </c>
      <c r="D80" s="2" t="s">
        <v>37</v>
      </c>
    </row>
    <row r="81" spans="1:4" x14ac:dyDescent="0.35">
      <c r="A81" s="2" t="s">
        <v>35</v>
      </c>
      <c r="B81" s="3">
        <v>46252</v>
      </c>
      <c r="C81" s="2" t="s">
        <v>245</v>
      </c>
      <c r="D81" s="2" t="s">
        <v>37</v>
      </c>
    </row>
    <row r="82" spans="1:4" x14ac:dyDescent="0.35">
      <c r="A82" s="2" t="s">
        <v>35</v>
      </c>
      <c r="B82" s="3">
        <v>46226</v>
      </c>
      <c r="C82" s="2" t="s">
        <v>246</v>
      </c>
      <c r="D82" s="2" t="s">
        <v>37</v>
      </c>
    </row>
    <row r="83" spans="1:4" x14ac:dyDescent="0.35">
      <c r="A83" s="2" t="s">
        <v>35</v>
      </c>
      <c r="B83" s="3">
        <v>46282</v>
      </c>
      <c r="C83" s="2" t="s">
        <v>246</v>
      </c>
      <c r="D83" s="2" t="s">
        <v>37</v>
      </c>
    </row>
    <row r="84" spans="1:4" x14ac:dyDescent="0.35">
      <c r="A84" s="2" t="s">
        <v>35</v>
      </c>
      <c r="B84" s="3">
        <v>46251</v>
      </c>
      <c r="C84" s="2" t="s">
        <v>246</v>
      </c>
      <c r="D84" s="2" t="s">
        <v>37</v>
      </c>
    </row>
    <row r="85" spans="1:4" x14ac:dyDescent="0.35">
      <c r="A85" s="2" t="s">
        <v>35</v>
      </c>
      <c r="B85" s="3">
        <v>46216</v>
      </c>
      <c r="C85" s="2" t="s">
        <v>30</v>
      </c>
      <c r="D85" s="2" t="s">
        <v>37</v>
      </c>
    </row>
    <row r="86" spans="1:4" x14ac:dyDescent="0.35">
      <c r="A86" s="2" t="s">
        <v>39</v>
      </c>
      <c r="B86" s="3">
        <v>46241</v>
      </c>
      <c r="C86" s="2" t="s">
        <v>246</v>
      </c>
      <c r="D86" s="2" t="s">
        <v>41</v>
      </c>
    </row>
    <row r="87" spans="1:4" x14ac:dyDescent="0.35">
      <c r="A87" s="2" t="s">
        <v>39</v>
      </c>
      <c r="B87" s="3">
        <v>46225</v>
      </c>
      <c r="C87" s="2" t="s">
        <v>30</v>
      </c>
      <c r="D87" s="2" t="s">
        <v>41</v>
      </c>
    </row>
    <row r="88" spans="1:4" x14ac:dyDescent="0.35">
      <c r="A88" s="2" t="s">
        <v>39</v>
      </c>
      <c r="B88" s="3">
        <v>46216</v>
      </c>
      <c r="C88" s="2" t="s">
        <v>245</v>
      </c>
      <c r="D88" s="2" t="s">
        <v>41</v>
      </c>
    </row>
    <row r="89" spans="1:4" x14ac:dyDescent="0.35">
      <c r="A89" s="2" t="s">
        <v>39</v>
      </c>
      <c r="B89" s="3">
        <v>46283</v>
      </c>
      <c r="C89" s="2" t="s">
        <v>30</v>
      </c>
      <c r="D89" s="2" t="s">
        <v>41</v>
      </c>
    </row>
    <row r="90" spans="1:4" x14ac:dyDescent="0.35">
      <c r="A90" s="2" t="s">
        <v>39</v>
      </c>
      <c r="B90" s="3">
        <v>46240</v>
      </c>
      <c r="C90" s="2" t="s">
        <v>246</v>
      </c>
      <c r="D90" s="2" t="s">
        <v>41</v>
      </c>
    </row>
    <row r="91" spans="1:4" x14ac:dyDescent="0.35">
      <c r="A91" s="2" t="s">
        <v>39</v>
      </c>
      <c r="B91" s="3">
        <v>46219</v>
      </c>
      <c r="C91" s="2" t="s">
        <v>246</v>
      </c>
      <c r="D91" s="2" t="s">
        <v>41</v>
      </c>
    </row>
    <row r="92" spans="1:4" x14ac:dyDescent="0.35">
      <c r="A92" s="2" t="s">
        <v>39</v>
      </c>
      <c r="B92" s="3">
        <v>46274</v>
      </c>
      <c r="C92" s="2" t="s">
        <v>247</v>
      </c>
      <c r="D92" s="2" t="s">
        <v>41</v>
      </c>
    </row>
    <row r="93" spans="1:4" x14ac:dyDescent="0.35">
      <c r="A93" s="2" t="s">
        <v>39</v>
      </c>
      <c r="B93" s="3">
        <v>46279</v>
      </c>
      <c r="C93" s="2" t="s">
        <v>246</v>
      </c>
      <c r="D93" s="2" t="s">
        <v>41</v>
      </c>
    </row>
    <row r="94" spans="1:4" x14ac:dyDescent="0.35">
      <c r="A94" s="2" t="s">
        <v>39</v>
      </c>
      <c r="B94" s="3">
        <v>46289</v>
      </c>
      <c r="C94" s="2" t="s">
        <v>246</v>
      </c>
      <c r="D94" s="2" t="s">
        <v>41</v>
      </c>
    </row>
    <row r="95" spans="1:4" x14ac:dyDescent="0.35">
      <c r="A95" s="2" t="s">
        <v>39</v>
      </c>
      <c r="B95" s="3">
        <v>46268</v>
      </c>
      <c r="C95" s="2" t="s">
        <v>246</v>
      </c>
      <c r="D95" s="2" t="s">
        <v>41</v>
      </c>
    </row>
    <row r="96" spans="1:4" x14ac:dyDescent="0.35">
      <c r="A96" s="2" t="s">
        <v>39</v>
      </c>
      <c r="B96" s="3">
        <v>46220</v>
      </c>
      <c r="C96" s="2" t="s">
        <v>30</v>
      </c>
      <c r="D96" s="2" t="s">
        <v>41</v>
      </c>
    </row>
    <row r="97" spans="1:4" x14ac:dyDescent="0.35">
      <c r="A97" s="2" t="s">
        <v>39</v>
      </c>
      <c r="B97" s="3">
        <v>46246</v>
      </c>
      <c r="C97" s="2" t="s">
        <v>30</v>
      </c>
      <c r="D97" s="2" t="s">
        <v>41</v>
      </c>
    </row>
    <row r="98" spans="1:4" x14ac:dyDescent="0.35">
      <c r="A98" s="2" t="s">
        <v>43</v>
      </c>
      <c r="B98" s="3">
        <v>46230</v>
      </c>
      <c r="C98" s="2" t="s">
        <v>246</v>
      </c>
      <c r="D98" s="2"/>
    </row>
    <row r="99" spans="1:4" x14ac:dyDescent="0.35">
      <c r="A99" s="2" t="s">
        <v>43</v>
      </c>
      <c r="B99" s="3">
        <v>46212</v>
      </c>
      <c r="C99" s="2" t="s">
        <v>30</v>
      </c>
      <c r="D99" s="2"/>
    </row>
    <row r="100" spans="1:4" x14ac:dyDescent="0.35">
      <c r="A100" s="2" t="s">
        <v>43</v>
      </c>
      <c r="B100" s="3">
        <v>46259</v>
      </c>
      <c r="C100" s="2" t="s">
        <v>247</v>
      </c>
      <c r="D100" s="2"/>
    </row>
    <row r="101" spans="1:4" x14ac:dyDescent="0.35">
      <c r="A101" s="2" t="s">
        <v>43</v>
      </c>
      <c r="B101" s="3">
        <v>46272</v>
      </c>
      <c r="C101" s="2" t="s">
        <v>247</v>
      </c>
      <c r="D101" s="2"/>
    </row>
    <row r="102" spans="1:4" x14ac:dyDescent="0.35">
      <c r="A102" s="2" t="s">
        <v>43</v>
      </c>
      <c r="B102" s="3">
        <v>46276</v>
      </c>
      <c r="C102" s="2" t="s">
        <v>246</v>
      </c>
      <c r="D102" s="2"/>
    </row>
    <row r="103" spans="1:4" x14ac:dyDescent="0.35">
      <c r="A103" s="2" t="s">
        <v>43</v>
      </c>
      <c r="B103" s="3">
        <v>46288</v>
      </c>
      <c r="C103" s="2" t="s">
        <v>30</v>
      </c>
      <c r="D103" s="2"/>
    </row>
    <row r="104" spans="1:4" x14ac:dyDescent="0.35">
      <c r="A104" s="2" t="s">
        <v>43</v>
      </c>
      <c r="B104" s="3">
        <v>46226</v>
      </c>
      <c r="C104" s="2" t="s">
        <v>245</v>
      </c>
      <c r="D104" s="2"/>
    </row>
    <row r="105" spans="1:4" x14ac:dyDescent="0.35">
      <c r="A105" s="2" t="s">
        <v>43</v>
      </c>
      <c r="B105" s="3">
        <v>46206</v>
      </c>
      <c r="C105" s="2" t="s">
        <v>30</v>
      </c>
      <c r="D105" s="2"/>
    </row>
    <row r="106" spans="1:4" x14ac:dyDescent="0.35">
      <c r="A106" s="2" t="s">
        <v>43</v>
      </c>
      <c r="B106" s="3">
        <v>46254</v>
      </c>
      <c r="C106" s="2" t="s">
        <v>246</v>
      </c>
      <c r="D106" s="2"/>
    </row>
    <row r="107" spans="1:4" x14ac:dyDescent="0.35">
      <c r="A107" s="2" t="s">
        <v>43</v>
      </c>
      <c r="B107" s="3">
        <v>46216</v>
      </c>
      <c r="C107" s="2" t="s">
        <v>246</v>
      </c>
      <c r="D107" s="2"/>
    </row>
    <row r="108" spans="1:4" x14ac:dyDescent="0.35">
      <c r="A108" s="2" t="s">
        <v>43</v>
      </c>
      <c r="B108" s="3">
        <v>46223</v>
      </c>
      <c r="C108" s="2" t="s">
        <v>30</v>
      </c>
      <c r="D108" s="2"/>
    </row>
    <row r="109" spans="1:4" x14ac:dyDescent="0.35">
      <c r="A109" s="2" t="s">
        <v>43</v>
      </c>
      <c r="B109" s="3">
        <v>46233</v>
      </c>
      <c r="C109" s="2" t="s">
        <v>246</v>
      </c>
      <c r="D109" s="2"/>
    </row>
    <row r="110" spans="1:4" x14ac:dyDescent="0.35">
      <c r="A110" s="2" t="s">
        <v>46</v>
      </c>
      <c r="B110" s="3">
        <v>46254</v>
      </c>
      <c r="C110" s="2" t="s">
        <v>30</v>
      </c>
      <c r="D110" s="2" t="s">
        <v>37</v>
      </c>
    </row>
    <row r="111" spans="1:4" x14ac:dyDescent="0.35">
      <c r="A111" s="2" t="s">
        <v>46</v>
      </c>
      <c r="B111" s="3">
        <v>46209</v>
      </c>
      <c r="C111" s="2" t="s">
        <v>245</v>
      </c>
      <c r="D111" s="2" t="s">
        <v>37</v>
      </c>
    </row>
    <row r="112" spans="1:4" x14ac:dyDescent="0.35">
      <c r="A112" s="2" t="s">
        <v>46</v>
      </c>
      <c r="B112" s="3">
        <v>46294</v>
      </c>
      <c r="C112" s="2" t="s">
        <v>246</v>
      </c>
      <c r="D112" s="2" t="s">
        <v>37</v>
      </c>
    </row>
    <row r="113" spans="1:4" x14ac:dyDescent="0.35">
      <c r="A113" s="2" t="s">
        <v>46</v>
      </c>
      <c r="B113" s="3">
        <v>46210</v>
      </c>
      <c r="C113" s="2" t="s">
        <v>246</v>
      </c>
      <c r="D113" s="2" t="s">
        <v>37</v>
      </c>
    </row>
    <row r="114" spans="1:4" x14ac:dyDescent="0.35">
      <c r="A114" s="2" t="s">
        <v>46</v>
      </c>
      <c r="B114" s="3">
        <v>46253</v>
      </c>
      <c r="C114" s="2" t="s">
        <v>30</v>
      </c>
      <c r="D114" s="2" t="s">
        <v>37</v>
      </c>
    </row>
    <row r="115" spans="1:4" x14ac:dyDescent="0.35">
      <c r="A115" s="2" t="s">
        <v>46</v>
      </c>
      <c r="B115" s="3">
        <v>46286</v>
      </c>
      <c r="C115" s="2" t="s">
        <v>30</v>
      </c>
      <c r="D115" s="2" t="s">
        <v>37</v>
      </c>
    </row>
    <row r="116" spans="1:4" x14ac:dyDescent="0.35">
      <c r="A116" s="2" t="s">
        <v>46</v>
      </c>
      <c r="B116" s="3">
        <v>46290</v>
      </c>
      <c r="C116" s="2" t="s">
        <v>246</v>
      </c>
      <c r="D116" s="2" t="s">
        <v>37</v>
      </c>
    </row>
    <row r="117" spans="1:4" x14ac:dyDescent="0.35">
      <c r="A117" s="2" t="s">
        <v>46</v>
      </c>
      <c r="B117" s="3">
        <v>46281</v>
      </c>
      <c r="C117" s="2" t="s">
        <v>245</v>
      </c>
      <c r="D117" s="2" t="s">
        <v>37</v>
      </c>
    </row>
    <row r="118" spans="1:4" x14ac:dyDescent="0.35">
      <c r="A118" s="2" t="s">
        <v>46</v>
      </c>
      <c r="B118" s="3">
        <v>46219</v>
      </c>
      <c r="C118" s="2" t="s">
        <v>246</v>
      </c>
      <c r="D118" s="2" t="s">
        <v>37</v>
      </c>
    </row>
    <row r="119" spans="1:4" x14ac:dyDescent="0.35">
      <c r="A119" s="2" t="s">
        <v>46</v>
      </c>
      <c r="B119" s="3">
        <v>46245</v>
      </c>
      <c r="C119" s="2" t="s">
        <v>247</v>
      </c>
      <c r="D119" s="2" t="s">
        <v>37</v>
      </c>
    </row>
    <row r="120" spans="1:4" x14ac:dyDescent="0.35">
      <c r="A120" s="2" t="s">
        <v>46</v>
      </c>
      <c r="B120" s="3">
        <v>46225</v>
      </c>
      <c r="C120" s="2" t="s">
        <v>246</v>
      </c>
      <c r="D120" s="2" t="s">
        <v>37</v>
      </c>
    </row>
    <row r="121" spans="1:4" x14ac:dyDescent="0.35">
      <c r="A121" s="2" t="s">
        <v>46</v>
      </c>
      <c r="B121" s="3">
        <v>46262</v>
      </c>
      <c r="C121" s="2" t="s">
        <v>246</v>
      </c>
      <c r="D121" s="2" t="s">
        <v>37</v>
      </c>
    </row>
    <row r="122" spans="1:4" x14ac:dyDescent="0.35">
      <c r="A122" s="2" t="s">
        <v>49</v>
      </c>
      <c r="B122" s="3">
        <v>46220</v>
      </c>
      <c r="C122" s="2" t="s">
        <v>246</v>
      </c>
      <c r="D122" s="2" t="s">
        <v>17</v>
      </c>
    </row>
    <row r="123" spans="1:4" x14ac:dyDescent="0.35">
      <c r="A123" s="2" t="s">
        <v>49</v>
      </c>
      <c r="B123" s="3">
        <v>46238</v>
      </c>
      <c r="C123" s="2" t="s">
        <v>245</v>
      </c>
      <c r="D123" s="2" t="s">
        <v>17</v>
      </c>
    </row>
    <row r="124" spans="1:4" x14ac:dyDescent="0.35">
      <c r="A124" s="2" t="s">
        <v>49</v>
      </c>
      <c r="B124" s="3">
        <v>46267</v>
      </c>
      <c r="C124" s="2" t="s">
        <v>246</v>
      </c>
      <c r="D124" s="2" t="s">
        <v>17</v>
      </c>
    </row>
    <row r="125" spans="1:4" x14ac:dyDescent="0.35">
      <c r="A125" s="2" t="s">
        <v>49</v>
      </c>
      <c r="B125" s="3">
        <v>46265</v>
      </c>
      <c r="C125" s="2" t="s">
        <v>30</v>
      </c>
      <c r="D125" s="2" t="s">
        <v>17</v>
      </c>
    </row>
    <row r="126" spans="1:4" x14ac:dyDescent="0.35">
      <c r="A126" s="2" t="s">
        <v>49</v>
      </c>
      <c r="B126" s="3">
        <v>46231</v>
      </c>
      <c r="C126" s="2" t="s">
        <v>245</v>
      </c>
      <c r="D126" s="2" t="s">
        <v>17</v>
      </c>
    </row>
    <row r="127" spans="1:4" x14ac:dyDescent="0.35">
      <c r="A127" s="2" t="s">
        <v>49</v>
      </c>
      <c r="B127" s="3">
        <v>46226</v>
      </c>
      <c r="C127" s="2" t="s">
        <v>246</v>
      </c>
      <c r="D127" s="2" t="s">
        <v>17</v>
      </c>
    </row>
    <row r="128" spans="1:4" x14ac:dyDescent="0.35">
      <c r="A128" s="2" t="s">
        <v>49</v>
      </c>
      <c r="B128" s="3">
        <v>46211</v>
      </c>
      <c r="C128" s="2" t="s">
        <v>246</v>
      </c>
      <c r="D128" s="2" t="s">
        <v>17</v>
      </c>
    </row>
    <row r="129" spans="1:4" x14ac:dyDescent="0.35">
      <c r="A129" s="2" t="s">
        <v>49</v>
      </c>
      <c r="B129" s="3">
        <v>46216</v>
      </c>
      <c r="C129" s="2" t="s">
        <v>30</v>
      </c>
      <c r="D129" s="2" t="s">
        <v>17</v>
      </c>
    </row>
    <row r="130" spans="1:4" x14ac:dyDescent="0.35">
      <c r="A130" s="2" t="s">
        <v>49</v>
      </c>
      <c r="B130" s="3">
        <v>46233</v>
      </c>
      <c r="C130" s="2" t="s">
        <v>246</v>
      </c>
      <c r="D130" s="2" t="s">
        <v>17</v>
      </c>
    </row>
    <row r="131" spans="1:4" x14ac:dyDescent="0.35">
      <c r="A131" s="2" t="s">
        <v>49</v>
      </c>
      <c r="B131" s="3">
        <v>46274</v>
      </c>
      <c r="C131" s="2" t="s">
        <v>30</v>
      </c>
      <c r="D131" s="2" t="s">
        <v>17</v>
      </c>
    </row>
    <row r="132" spans="1:4" x14ac:dyDescent="0.35">
      <c r="A132" s="2" t="s">
        <v>49</v>
      </c>
      <c r="B132" s="3">
        <v>46219</v>
      </c>
      <c r="C132" s="2" t="s">
        <v>246</v>
      </c>
      <c r="D132" s="2" t="s">
        <v>17</v>
      </c>
    </row>
    <row r="133" spans="1:4" x14ac:dyDescent="0.35">
      <c r="A133" s="2" t="s">
        <v>49</v>
      </c>
      <c r="B133" s="3">
        <v>46245</v>
      </c>
      <c r="C133" s="2" t="s">
        <v>246</v>
      </c>
      <c r="D133" s="2" t="s">
        <v>17</v>
      </c>
    </row>
    <row r="134" spans="1:4" x14ac:dyDescent="0.35">
      <c r="A134" s="2" t="s">
        <v>51</v>
      </c>
      <c r="B134" s="3">
        <v>46231</v>
      </c>
      <c r="C134" s="2" t="s">
        <v>245</v>
      </c>
      <c r="D134" s="2" t="s">
        <v>22</v>
      </c>
    </row>
    <row r="135" spans="1:4" x14ac:dyDescent="0.35">
      <c r="A135" s="2" t="s">
        <v>51</v>
      </c>
      <c r="B135" s="3">
        <v>46241</v>
      </c>
      <c r="C135" s="2" t="s">
        <v>246</v>
      </c>
      <c r="D135" s="2" t="s">
        <v>22</v>
      </c>
    </row>
    <row r="136" spans="1:4" x14ac:dyDescent="0.35">
      <c r="A136" s="2" t="s">
        <v>51</v>
      </c>
      <c r="B136" s="3">
        <v>46224</v>
      </c>
      <c r="C136" s="2" t="s">
        <v>246</v>
      </c>
      <c r="D136" s="2" t="s">
        <v>22</v>
      </c>
    </row>
    <row r="137" spans="1:4" x14ac:dyDescent="0.35">
      <c r="A137" s="2" t="s">
        <v>51</v>
      </c>
      <c r="B137" s="3">
        <v>46287</v>
      </c>
      <c r="C137" s="2" t="s">
        <v>246</v>
      </c>
      <c r="D137" s="2" t="s">
        <v>22</v>
      </c>
    </row>
    <row r="138" spans="1:4" x14ac:dyDescent="0.35">
      <c r="A138" s="2" t="s">
        <v>51</v>
      </c>
      <c r="B138" s="3">
        <v>46286</v>
      </c>
      <c r="C138" s="2" t="s">
        <v>30</v>
      </c>
      <c r="D138" s="2" t="s">
        <v>22</v>
      </c>
    </row>
    <row r="139" spans="1:4" x14ac:dyDescent="0.35">
      <c r="A139" s="2" t="s">
        <v>51</v>
      </c>
      <c r="B139" s="3">
        <v>46248</v>
      </c>
      <c r="C139" s="2" t="s">
        <v>246</v>
      </c>
      <c r="D139" s="2" t="s">
        <v>22</v>
      </c>
    </row>
    <row r="140" spans="1:4" x14ac:dyDescent="0.35">
      <c r="A140" s="2" t="s">
        <v>51</v>
      </c>
      <c r="B140" s="3">
        <v>46274</v>
      </c>
      <c r="C140" s="2" t="s">
        <v>30</v>
      </c>
      <c r="D140" s="2" t="s">
        <v>22</v>
      </c>
    </row>
    <row r="141" spans="1:4" x14ac:dyDescent="0.35">
      <c r="A141" s="2" t="s">
        <v>51</v>
      </c>
      <c r="B141" s="3">
        <v>46230</v>
      </c>
      <c r="C141" s="2" t="s">
        <v>30</v>
      </c>
      <c r="D141" s="2" t="s">
        <v>22</v>
      </c>
    </row>
    <row r="142" spans="1:4" x14ac:dyDescent="0.35">
      <c r="A142" s="2" t="s">
        <v>51</v>
      </c>
      <c r="B142" s="3">
        <v>46225</v>
      </c>
      <c r="C142" s="2" t="s">
        <v>247</v>
      </c>
      <c r="D142" s="2" t="s">
        <v>22</v>
      </c>
    </row>
    <row r="143" spans="1:4" x14ac:dyDescent="0.35">
      <c r="A143" s="2" t="s">
        <v>51</v>
      </c>
      <c r="B143" s="3">
        <v>46283</v>
      </c>
      <c r="C143" s="2" t="s">
        <v>246</v>
      </c>
      <c r="D143" s="2" t="s">
        <v>22</v>
      </c>
    </row>
    <row r="144" spans="1:4" x14ac:dyDescent="0.35">
      <c r="A144" s="2" t="s">
        <v>51</v>
      </c>
      <c r="B144" s="3">
        <v>46210</v>
      </c>
      <c r="C144" s="2" t="s">
        <v>246</v>
      </c>
      <c r="D144" s="2" t="s">
        <v>22</v>
      </c>
    </row>
    <row r="145" spans="1:4" x14ac:dyDescent="0.35">
      <c r="A145" s="2" t="s">
        <v>51</v>
      </c>
      <c r="B145" s="3">
        <v>46206</v>
      </c>
      <c r="C145" s="2" t="s">
        <v>245</v>
      </c>
      <c r="D145" s="2" t="s">
        <v>22</v>
      </c>
    </row>
    <row r="146" spans="1:4" x14ac:dyDescent="0.35">
      <c r="A146" s="2" t="s">
        <v>53</v>
      </c>
      <c r="B146" s="3">
        <v>46218</v>
      </c>
      <c r="C146" s="2" t="s">
        <v>246</v>
      </c>
      <c r="D146" s="2" t="s">
        <v>11</v>
      </c>
    </row>
    <row r="147" spans="1:4" x14ac:dyDescent="0.35">
      <c r="A147" s="2" t="s">
        <v>53</v>
      </c>
      <c r="B147" s="3">
        <v>46209</v>
      </c>
      <c r="C147" s="2" t="s">
        <v>246</v>
      </c>
      <c r="D147" s="2" t="s">
        <v>11</v>
      </c>
    </row>
    <row r="148" spans="1:4" x14ac:dyDescent="0.35">
      <c r="A148" s="2" t="s">
        <v>53</v>
      </c>
      <c r="B148" s="3">
        <v>46295</v>
      </c>
      <c r="C148" s="2" t="s">
        <v>247</v>
      </c>
      <c r="D148" s="2" t="s">
        <v>11</v>
      </c>
    </row>
    <row r="149" spans="1:4" x14ac:dyDescent="0.35">
      <c r="A149" s="2" t="s">
        <v>53</v>
      </c>
      <c r="B149" s="3">
        <v>46265</v>
      </c>
      <c r="C149" s="2" t="s">
        <v>246</v>
      </c>
      <c r="D149" s="2" t="s">
        <v>11</v>
      </c>
    </row>
    <row r="150" spans="1:4" x14ac:dyDescent="0.35">
      <c r="A150" s="2" t="s">
        <v>53</v>
      </c>
      <c r="B150" s="3">
        <v>46244</v>
      </c>
      <c r="C150" s="2" t="s">
        <v>30</v>
      </c>
      <c r="D150" s="2" t="s">
        <v>11</v>
      </c>
    </row>
    <row r="151" spans="1:4" x14ac:dyDescent="0.35">
      <c r="A151" s="2" t="s">
        <v>53</v>
      </c>
      <c r="B151" s="3">
        <v>46268</v>
      </c>
      <c r="C151" s="2" t="s">
        <v>245</v>
      </c>
      <c r="D151" s="2" t="s">
        <v>11</v>
      </c>
    </row>
    <row r="152" spans="1:4" x14ac:dyDescent="0.35">
      <c r="A152" s="2" t="s">
        <v>53</v>
      </c>
      <c r="B152" s="3">
        <v>46283</v>
      </c>
      <c r="C152" s="2" t="s">
        <v>246</v>
      </c>
      <c r="D152" s="2" t="s">
        <v>11</v>
      </c>
    </row>
    <row r="153" spans="1:4" x14ac:dyDescent="0.35">
      <c r="A153" s="2" t="s">
        <v>53</v>
      </c>
      <c r="B153" s="3">
        <v>46240</v>
      </c>
      <c r="C153" s="2" t="s">
        <v>246</v>
      </c>
      <c r="D153" s="2" t="s">
        <v>11</v>
      </c>
    </row>
    <row r="154" spans="1:4" x14ac:dyDescent="0.35">
      <c r="A154" s="2" t="s">
        <v>53</v>
      </c>
      <c r="B154" s="3">
        <v>46293</v>
      </c>
      <c r="C154" s="2" t="s">
        <v>246</v>
      </c>
      <c r="D154" s="2" t="s">
        <v>11</v>
      </c>
    </row>
    <row r="155" spans="1:4" x14ac:dyDescent="0.35">
      <c r="A155" s="2" t="s">
        <v>53</v>
      </c>
      <c r="B155" s="3">
        <v>46223</v>
      </c>
      <c r="C155" s="2" t="s">
        <v>246</v>
      </c>
      <c r="D155" s="2" t="s">
        <v>11</v>
      </c>
    </row>
    <row r="156" spans="1:4" x14ac:dyDescent="0.35">
      <c r="A156" s="2" t="s">
        <v>53</v>
      </c>
      <c r="B156" s="3">
        <v>46241</v>
      </c>
      <c r="C156" s="2" t="s">
        <v>246</v>
      </c>
      <c r="D156" s="2" t="s">
        <v>11</v>
      </c>
    </row>
    <row r="157" spans="1:4" x14ac:dyDescent="0.35">
      <c r="A157" s="2" t="s">
        <v>53</v>
      </c>
      <c r="B157" s="3">
        <v>46275</v>
      </c>
      <c r="C157" s="2" t="s">
        <v>30</v>
      </c>
      <c r="D157" s="2" t="s">
        <v>11</v>
      </c>
    </row>
    <row r="158" spans="1:4" x14ac:dyDescent="0.35">
      <c r="A158" s="2" t="s">
        <v>55</v>
      </c>
      <c r="B158" s="3">
        <v>46280</v>
      </c>
      <c r="C158" s="2" t="s">
        <v>245</v>
      </c>
      <c r="D158" s="2" t="s">
        <v>17</v>
      </c>
    </row>
    <row r="159" spans="1:4" x14ac:dyDescent="0.35">
      <c r="A159" s="2" t="s">
        <v>55</v>
      </c>
      <c r="B159" s="3">
        <v>46218</v>
      </c>
      <c r="C159" s="2" t="s">
        <v>245</v>
      </c>
      <c r="D159" s="2" t="s">
        <v>17</v>
      </c>
    </row>
    <row r="160" spans="1:4" x14ac:dyDescent="0.35">
      <c r="A160" s="2" t="s">
        <v>55</v>
      </c>
      <c r="B160" s="3">
        <v>46211</v>
      </c>
      <c r="C160" s="2" t="s">
        <v>246</v>
      </c>
      <c r="D160" s="2" t="s">
        <v>17</v>
      </c>
    </row>
    <row r="161" spans="1:4" x14ac:dyDescent="0.35">
      <c r="A161" s="2" t="s">
        <v>55</v>
      </c>
      <c r="B161" s="3">
        <v>46294</v>
      </c>
      <c r="C161" s="2" t="s">
        <v>246</v>
      </c>
      <c r="D161" s="2" t="s">
        <v>17</v>
      </c>
    </row>
    <row r="162" spans="1:4" x14ac:dyDescent="0.35">
      <c r="A162" s="2" t="s">
        <v>55</v>
      </c>
      <c r="B162" s="3">
        <v>46241</v>
      </c>
      <c r="C162" s="2" t="s">
        <v>247</v>
      </c>
      <c r="D162" s="2" t="s">
        <v>17</v>
      </c>
    </row>
    <row r="163" spans="1:4" x14ac:dyDescent="0.35">
      <c r="A163" s="2" t="s">
        <v>55</v>
      </c>
      <c r="B163" s="3">
        <v>46216</v>
      </c>
      <c r="C163" s="2" t="s">
        <v>247</v>
      </c>
      <c r="D163" s="2" t="s">
        <v>17</v>
      </c>
    </row>
    <row r="164" spans="1:4" x14ac:dyDescent="0.35">
      <c r="A164" s="2" t="s">
        <v>55</v>
      </c>
      <c r="B164" s="3">
        <v>46268</v>
      </c>
      <c r="C164" s="2" t="s">
        <v>247</v>
      </c>
      <c r="D164" s="2" t="s">
        <v>17</v>
      </c>
    </row>
    <row r="165" spans="1:4" x14ac:dyDescent="0.35">
      <c r="A165" s="2" t="s">
        <v>55</v>
      </c>
      <c r="B165" s="3">
        <v>46281</v>
      </c>
      <c r="C165" s="2" t="s">
        <v>246</v>
      </c>
      <c r="D165" s="2" t="s">
        <v>17</v>
      </c>
    </row>
    <row r="166" spans="1:4" x14ac:dyDescent="0.35">
      <c r="A166" s="2" t="s">
        <v>55</v>
      </c>
      <c r="B166" s="3">
        <v>46230</v>
      </c>
      <c r="C166" s="2" t="s">
        <v>245</v>
      </c>
      <c r="D166" s="2" t="s">
        <v>17</v>
      </c>
    </row>
    <row r="167" spans="1:4" x14ac:dyDescent="0.35">
      <c r="A167" s="2" t="s">
        <v>55</v>
      </c>
      <c r="B167" s="3">
        <v>46279</v>
      </c>
      <c r="C167" s="2" t="s">
        <v>30</v>
      </c>
      <c r="D167" s="2" t="s">
        <v>17</v>
      </c>
    </row>
    <row r="168" spans="1:4" x14ac:dyDescent="0.35">
      <c r="A168" s="2" t="s">
        <v>55</v>
      </c>
      <c r="B168" s="3">
        <v>46273</v>
      </c>
      <c r="C168" s="2" t="s">
        <v>30</v>
      </c>
      <c r="D168" s="2" t="s">
        <v>17</v>
      </c>
    </row>
    <row r="169" spans="1:4" x14ac:dyDescent="0.35">
      <c r="A169" s="2" t="s">
        <v>55</v>
      </c>
      <c r="B169" s="3">
        <v>46260</v>
      </c>
      <c r="C169" s="2" t="s">
        <v>246</v>
      </c>
      <c r="D169" s="2" t="s">
        <v>17</v>
      </c>
    </row>
    <row r="170" spans="1:4" x14ac:dyDescent="0.35">
      <c r="A170" s="2" t="s">
        <v>58</v>
      </c>
      <c r="B170" s="3">
        <v>46248</v>
      </c>
      <c r="C170" s="2" t="s">
        <v>30</v>
      </c>
      <c r="D170" s="2" t="s">
        <v>17</v>
      </c>
    </row>
    <row r="171" spans="1:4" x14ac:dyDescent="0.35">
      <c r="A171" s="2" t="s">
        <v>58</v>
      </c>
      <c r="B171" s="3">
        <v>46254</v>
      </c>
      <c r="C171" s="2" t="s">
        <v>247</v>
      </c>
      <c r="D171" s="2" t="s">
        <v>17</v>
      </c>
    </row>
    <row r="172" spans="1:4" x14ac:dyDescent="0.35">
      <c r="A172" s="2" t="s">
        <v>58</v>
      </c>
      <c r="B172" s="3">
        <v>46225</v>
      </c>
      <c r="C172" s="2" t="s">
        <v>245</v>
      </c>
      <c r="D172" s="2" t="s">
        <v>17</v>
      </c>
    </row>
    <row r="173" spans="1:4" x14ac:dyDescent="0.35">
      <c r="A173" s="2" t="s">
        <v>58</v>
      </c>
      <c r="B173" s="3">
        <v>46204</v>
      </c>
      <c r="C173" s="2" t="s">
        <v>247</v>
      </c>
      <c r="D173" s="2" t="s">
        <v>17</v>
      </c>
    </row>
    <row r="174" spans="1:4" x14ac:dyDescent="0.35">
      <c r="A174" s="2" t="s">
        <v>58</v>
      </c>
      <c r="B174" s="3">
        <v>46230</v>
      </c>
      <c r="C174" s="2" t="s">
        <v>245</v>
      </c>
      <c r="D174" s="2" t="s">
        <v>17</v>
      </c>
    </row>
    <row r="175" spans="1:4" x14ac:dyDescent="0.35">
      <c r="A175" s="2" t="s">
        <v>58</v>
      </c>
      <c r="B175" s="3">
        <v>46281</v>
      </c>
      <c r="C175" s="2" t="s">
        <v>247</v>
      </c>
      <c r="D175" s="2" t="s">
        <v>17</v>
      </c>
    </row>
    <row r="176" spans="1:4" x14ac:dyDescent="0.35">
      <c r="A176" s="2" t="s">
        <v>58</v>
      </c>
      <c r="B176" s="3">
        <v>46293</v>
      </c>
      <c r="C176" s="2" t="s">
        <v>247</v>
      </c>
      <c r="D176" s="2" t="s">
        <v>17</v>
      </c>
    </row>
    <row r="177" spans="1:4" x14ac:dyDescent="0.35">
      <c r="A177" s="2" t="s">
        <v>58</v>
      </c>
      <c r="B177" s="3">
        <v>46240</v>
      </c>
      <c r="C177" s="2" t="s">
        <v>246</v>
      </c>
      <c r="D177" s="2" t="s">
        <v>17</v>
      </c>
    </row>
    <row r="178" spans="1:4" x14ac:dyDescent="0.35">
      <c r="A178" s="2" t="s">
        <v>58</v>
      </c>
      <c r="B178" s="3">
        <v>46272</v>
      </c>
      <c r="C178" s="2" t="s">
        <v>246</v>
      </c>
      <c r="D178" s="2" t="s">
        <v>17</v>
      </c>
    </row>
    <row r="179" spans="1:4" x14ac:dyDescent="0.35">
      <c r="A179" s="2" t="s">
        <v>58</v>
      </c>
      <c r="B179" s="3">
        <v>46255</v>
      </c>
      <c r="C179" s="2" t="s">
        <v>247</v>
      </c>
      <c r="D179" s="2" t="s">
        <v>17</v>
      </c>
    </row>
    <row r="180" spans="1:4" x14ac:dyDescent="0.35">
      <c r="A180" s="2" t="s">
        <v>58</v>
      </c>
      <c r="B180" s="3">
        <v>46280</v>
      </c>
      <c r="C180" s="2" t="s">
        <v>30</v>
      </c>
      <c r="D180" s="2" t="s">
        <v>17</v>
      </c>
    </row>
    <row r="181" spans="1:4" x14ac:dyDescent="0.35">
      <c r="A181" s="2" t="s">
        <v>58</v>
      </c>
      <c r="B181" s="3">
        <v>46246</v>
      </c>
      <c r="C181" s="2" t="s">
        <v>247</v>
      </c>
      <c r="D181" s="2" t="s">
        <v>17</v>
      </c>
    </row>
    <row r="182" spans="1:4" x14ac:dyDescent="0.35">
      <c r="A182" s="2" t="s">
        <v>60</v>
      </c>
      <c r="B182" s="3">
        <v>46204</v>
      </c>
      <c r="C182" s="2" t="s">
        <v>246</v>
      </c>
      <c r="D182" s="2" t="s">
        <v>37</v>
      </c>
    </row>
    <row r="183" spans="1:4" x14ac:dyDescent="0.35">
      <c r="A183" s="2" t="s">
        <v>60</v>
      </c>
      <c r="B183" s="3">
        <v>46254</v>
      </c>
      <c r="C183" s="2" t="s">
        <v>246</v>
      </c>
      <c r="D183" s="2" t="s">
        <v>37</v>
      </c>
    </row>
    <row r="184" spans="1:4" x14ac:dyDescent="0.35">
      <c r="A184" s="2" t="s">
        <v>60</v>
      </c>
      <c r="B184" s="3">
        <v>46265</v>
      </c>
      <c r="C184" s="2" t="s">
        <v>245</v>
      </c>
      <c r="D184" s="2" t="s">
        <v>37</v>
      </c>
    </row>
    <row r="185" spans="1:4" x14ac:dyDescent="0.35">
      <c r="A185" s="2" t="s">
        <v>60</v>
      </c>
      <c r="B185" s="3">
        <v>46280</v>
      </c>
      <c r="C185" s="2" t="s">
        <v>30</v>
      </c>
      <c r="D185" s="2" t="s">
        <v>37</v>
      </c>
    </row>
    <row r="186" spans="1:4" x14ac:dyDescent="0.35">
      <c r="A186" s="2" t="s">
        <v>60</v>
      </c>
      <c r="B186" s="3">
        <v>46231</v>
      </c>
      <c r="C186" s="2" t="s">
        <v>246</v>
      </c>
      <c r="D186" s="2" t="s">
        <v>37</v>
      </c>
    </row>
    <row r="187" spans="1:4" x14ac:dyDescent="0.35">
      <c r="A187" s="2" t="s">
        <v>60</v>
      </c>
      <c r="B187" s="3">
        <v>46274</v>
      </c>
      <c r="C187" s="2" t="s">
        <v>246</v>
      </c>
      <c r="D187" s="2" t="s">
        <v>37</v>
      </c>
    </row>
    <row r="188" spans="1:4" x14ac:dyDescent="0.35">
      <c r="A188" s="2" t="s">
        <v>60</v>
      </c>
      <c r="B188" s="3">
        <v>46224</v>
      </c>
      <c r="C188" s="2" t="s">
        <v>30</v>
      </c>
      <c r="D188" s="2" t="s">
        <v>37</v>
      </c>
    </row>
    <row r="189" spans="1:4" x14ac:dyDescent="0.35">
      <c r="A189" s="2" t="s">
        <v>60</v>
      </c>
      <c r="B189" s="3">
        <v>46218</v>
      </c>
      <c r="C189" s="2" t="s">
        <v>246</v>
      </c>
      <c r="D189" s="2" t="s">
        <v>37</v>
      </c>
    </row>
    <row r="190" spans="1:4" x14ac:dyDescent="0.35">
      <c r="A190" s="2" t="s">
        <v>60</v>
      </c>
      <c r="B190" s="3">
        <v>46258</v>
      </c>
      <c r="C190" s="2" t="s">
        <v>30</v>
      </c>
      <c r="D190" s="2" t="s">
        <v>37</v>
      </c>
    </row>
    <row r="191" spans="1:4" x14ac:dyDescent="0.35">
      <c r="A191" s="2" t="s">
        <v>60</v>
      </c>
      <c r="B191" s="3">
        <v>46252</v>
      </c>
      <c r="C191" s="2" t="s">
        <v>246</v>
      </c>
      <c r="D191" s="2" t="s">
        <v>37</v>
      </c>
    </row>
    <row r="192" spans="1:4" x14ac:dyDescent="0.35">
      <c r="A192" s="2" t="s">
        <v>60</v>
      </c>
      <c r="B192" s="3">
        <v>46232</v>
      </c>
      <c r="C192" s="2" t="s">
        <v>246</v>
      </c>
      <c r="D192" s="2" t="s">
        <v>37</v>
      </c>
    </row>
    <row r="193" spans="1:4" x14ac:dyDescent="0.35">
      <c r="A193" s="2" t="s">
        <v>60</v>
      </c>
      <c r="B193" s="3">
        <v>46268</v>
      </c>
      <c r="C193" s="2" t="s">
        <v>246</v>
      </c>
      <c r="D193" s="2" t="s">
        <v>37</v>
      </c>
    </row>
    <row r="194" spans="1:4" x14ac:dyDescent="0.35">
      <c r="A194" s="2" t="s">
        <v>63</v>
      </c>
      <c r="B194" s="3">
        <v>46213</v>
      </c>
      <c r="C194" s="2" t="s">
        <v>245</v>
      </c>
      <c r="D194" s="2" t="s">
        <v>41</v>
      </c>
    </row>
    <row r="195" spans="1:4" x14ac:dyDescent="0.35">
      <c r="A195" s="2" t="s">
        <v>63</v>
      </c>
      <c r="B195" s="3">
        <v>46255</v>
      </c>
      <c r="C195" s="2" t="s">
        <v>30</v>
      </c>
      <c r="D195" s="2" t="s">
        <v>41</v>
      </c>
    </row>
    <row r="196" spans="1:4" x14ac:dyDescent="0.35">
      <c r="A196" s="2" t="s">
        <v>63</v>
      </c>
      <c r="B196" s="3">
        <v>46245</v>
      </c>
      <c r="C196" s="2" t="s">
        <v>246</v>
      </c>
      <c r="D196" s="2" t="s">
        <v>41</v>
      </c>
    </row>
    <row r="197" spans="1:4" x14ac:dyDescent="0.35">
      <c r="A197" s="2" t="s">
        <v>63</v>
      </c>
      <c r="B197" s="3">
        <v>46227</v>
      </c>
      <c r="C197" s="2" t="s">
        <v>246</v>
      </c>
      <c r="D197" s="2" t="s">
        <v>41</v>
      </c>
    </row>
    <row r="198" spans="1:4" x14ac:dyDescent="0.35">
      <c r="A198" s="2" t="s">
        <v>63</v>
      </c>
      <c r="B198" s="3">
        <v>46280</v>
      </c>
      <c r="C198" s="2" t="s">
        <v>247</v>
      </c>
      <c r="D198" s="2" t="s">
        <v>41</v>
      </c>
    </row>
    <row r="199" spans="1:4" x14ac:dyDescent="0.35">
      <c r="A199" s="2" t="s">
        <v>63</v>
      </c>
      <c r="B199" s="3">
        <v>46267</v>
      </c>
      <c r="C199" s="2" t="s">
        <v>247</v>
      </c>
      <c r="D199" s="2" t="s">
        <v>41</v>
      </c>
    </row>
    <row r="200" spans="1:4" x14ac:dyDescent="0.35">
      <c r="A200" s="2" t="s">
        <v>63</v>
      </c>
      <c r="B200" s="3">
        <v>46260</v>
      </c>
      <c r="C200" s="2" t="s">
        <v>246</v>
      </c>
      <c r="D200" s="2" t="s">
        <v>41</v>
      </c>
    </row>
    <row r="201" spans="1:4" x14ac:dyDescent="0.35">
      <c r="A201" s="2" t="s">
        <v>63</v>
      </c>
      <c r="B201" s="3">
        <v>46216</v>
      </c>
      <c r="C201" s="2" t="s">
        <v>30</v>
      </c>
      <c r="D201" s="2" t="s">
        <v>41</v>
      </c>
    </row>
    <row r="202" spans="1:4" x14ac:dyDescent="0.35">
      <c r="A202" s="2" t="s">
        <v>63</v>
      </c>
      <c r="B202" s="3">
        <v>46241</v>
      </c>
      <c r="C202" s="2" t="s">
        <v>246</v>
      </c>
      <c r="D202" s="2" t="s">
        <v>41</v>
      </c>
    </row>
    <row r="203" spans="1:4" x14ac:dyDescent="0.35">
      <c r="A203" s="2" t="s">
        <v>63</v>
      </c>
      <c r="B203" s="3">
        <v>46238</v>
      </c>
      <c r="C203" s="2" t="s">
        <v>245</v>
      </c>
      <c r="D203" s="2" t="s">
        <v>41</v>
      </c>
    </row>
    <row r="204" spans="1:4" x14ac:dyDescent="0.35">
      <c r="A204" s="2" t="s">
        <v>63</v>
      </c>
      <c r="B204" s="3">
        <v>46282</v>
      </c>
      <c r="C204" s="2" t="s">
        <v>246</v>
      </c>
      <c r="D204" s="2" t="s">
        <v>41</v>
      </c>
    </row>
    <row r="205" spans="1:4" x14ac:dyDescent="0.35">
      <c r="A205" s="2" t="s">
        <v>63</v>
      </c>
      <c r="B205" s="3">
        <v>46230</v>
      </c>
      <c r="C205" s="2" t="s">
        <v>247</v>
      </c>
      <c r="D205" s="2" t="s">
        <v>41</v>
      </c>
    </row>
    <row r="206" spans="1:4" x14ac:dyDescent="0.35">
      <c r="A206" s="2" t="s">
        <v>65</v>
      </c>
      <c r="B206" s="3">
        <v>46252</v>
      </c>
      <c r="C206" s="2" t="s">
        <v>246</v>
      </c>
      <c r="D206" s="2" t="s">
        <v>22</v>
      </c>
    </row>
    <row r="207" spans="1:4" x14ac:dyDescent="0.35">
      <c r="A207" s="2" t="s">
        <v>65</v>
      </c>
      <c r="B207" s="3">
        <v>46289</v>
      </c>
      <c r="C207" s="2" t="s">
        <v>247</v>
      </c>
      <c r="D207" s="2" t="s">
        <v>22</v>
      </c>
    </row>
    <row r="208" spans="1:4" x14ac:dyDescent="0.35">
      <c r="A208" s="2" t="s">
        <v>65</v>
      </c>
      <c r="B208" s="3">
        <v>46210</v>
      </c>
      <c r="C208" s="2" t="s">
        <v>30</v>
      </c>
      <c r="D208" s="2" t="s">
        <v>22</v>
      </c>
    </row>
    <row r="209" spans="1:4" x14ac:dyDescent="0.35">
      <c r="A209" s="2" t="s">
        <v>65</v>
      </c>
      <c r="B209" s="3">
        <v>46295</v>
      </c>
      <c r="C209" s="2" t="s">
        <v>246</v>
      </c>
      <c r="D209" s="2" t="s">
        <v>22</v>
      </c>
    </row>
    <row r="210" spans="1:4" x14ac:dyDescent="0.35">
      <c r="A210" s="2" t="s">
        <v>65</v>
      </c>
      <c r="B210" s="3">
        <v>46274</v>
      </c>
      <c r="C210" s="2" t="s">
        <v>247</v>
      </c>
      <c r="D210" s="2" t="s">
        <v>22</v>
      </c>
    </row>
    <row r="211" spans="1:4" x14ac:dyDescent="0.35">
      <c r="A211" s="2" t="s">
        <v>65</v>
      </c>
      <c r="B211" s="3">
        <v>46251</v>
      </c>
      <c r="C211" s="2" t="s">
        <v>245</v>
      </c>
      <c r="D211" s="2" t="s">
        <v>22</v>
      </c>
    </row>
    <row r="212" spans="1:4" x14ac:dyDescent="0.35">
      <c r="A212" s="2" t="s">
        <v>65</v>
      </c>
      <c r="B212" s="3">
        <v>46266</v>
      </c>
      <c r="C212" s="2" t="s">
        <v>246</v>
      </c>
      <c r="D212" s="2" t="s">
        <v>22</v>
      </c>
    </row>
    <row r="213" spans="1:4" x14ac:dyDescent="0.35">
      <c r="A213" s="2" t="s">
        <v>65</v>
      </c>
      <c r="B213" s="3">
        <v>46268</v>
      </c>
      <c r="C213" s="2" t="s">
        <v>30</v>
      </c>
      <c r="D213" s="2" t="s">
        <v>22</v>
      </c>
    </row>
    <row r="214" spans="1:4" x14ac:dyDescent="0.35">
      <c r="A214" s="2" t="s">
        <v>65</v>
      </c>
      <c r="B214" s="3">
        <v>46272</v>
      </c>
      <c r="C214" s="2" t="s">
        <v>246</v>
      </c>
      <c r="D214" s="2" t="s">
        <v>22</v>
      </c>
    </row>
    <row r="215" spans="1:4" x14ac:dyDescent="0.35">
      <c r="A215" s="2" t="s">
        <v>65</v>
      </c>
      <c r="B215" s="3">
        <v>46217</v>
      </c>
      <c r="C215" s="2" t="s">
        <v>30</v>
      </c>
      <c r="D215" s="2" t="s">
        <v>22</v>
      </c>
    </row>
    <row r="216" spans="1:4" x14ac:dyDescent="0.35">
      <c r="A216" s="2" t="s">
        <v>65</v>
      </c>
      <c r="B216" s="3">
        <v>46244</v>
      </c>
      <c r="C216" s="2" t="s">
        <v>246</v>
      </c>
      <c r="D216" s="2" t="s">
        <v>22</v>
      </c>
    </row>
    <row r="217" spans="1:4" x14ac:dyDescent="0.35">
      <c r="A217" s="2" t="s">
        <v>65</v>
      </c>
      <c r="B217" s="3">
        <v>46209</v>
      </c>
      <c r="C217" s="2" t="s">
        <v>30</v>
      </c>
      <c r="D217" s="2" t="s">
        <v>22</v>
      </c>
    </row>
    <row r="218" spans="1:4" x14ac:dyDescent="0.35">
      <c r="A218" s="2" t="s">
        <v>69</v>
      </c>
      <c r="B218" s="3">
        <v>46232</v>
      </c>
      <c r="C218" s="2" t="s">
        <v>247</v>
      </c>
      <c r="D218" s="2" t="s">
        <v>22</v>
      </c>
    </row>
    <row r="219" spans="1:4" x14ac:dyDescent="0.35">
      <c r="A219" s="2" t="s">
        <v>69</v>
      </c>
      <c r="B219" s="3">
        <v>46274</v>
      </c>
      <c r="C219" s="2" t="s">
        <v>246</v>
      </c>
      <c r="D219" s="2" t="s">
        <v>22</v>
      </c>
    </row>
    <row r="220" spans="1:4" x14ac:dyDescent="0.35">
      <c r="A220" s="2" t="s">
        <v>69</v>
      </c>
      <c r="B220" s="3">
        <v>46275</v>
      </c>
      <c r="C220" s="2" t="s">
        <v>247</v>
      </c>
      <c r="D220" s="2" t="s">
        <v>22</v>
      </c>
    </row>
    <row r="221" spans="1:4" x14ac:dyDescent="0.35">
      <c r="A221" s="2" t="s">
        <v>69</v>
      </c>
      <c r="B221" s="3">
        <v>46248</v>
      </c>
      <c r="C221" s="2" t="s">
        <v>245</v>
      </c>
      <c r="D221" s="2" t="s">
        <v>22</v>
      </c>
    </row>
    <row r="222" spans="1:4" x14ac:dyDescent="0.35">
      <c r="A222" s="2" t="s">
        <v>69</v>
      </c>
      <c r="B222" s="3">
        <v>46204</v>
      </c>
      <c r="C222" s="2" t="s">
        <v>247</v>
      </c>
      <c r="D222" s="2" t="s">
        <v>22</v>
      </c>
    </row>
    <row r="223" spans="1:4" x14ac:dyDescent="0.35">
      <c r="A223" s="2" t="s">
        <v>69</v>
      </c>
      <c r="B223" s="3">
        <v>46294</v>
      </c>
      <c r="C223" s="2" t="s">
        <v>245</v>
      </c>
      <c r="D223" s="2" t="s">
        <v>22</v>
      </c>
    </row>
    <row r="224" spans="1:4" x14ac:dyDescent="0.35">
      <c r="A224" s="2" t="s">
        <v>69</v>
      </c>
      <c r="B224" s="3">
        <v>46261</v>
      </c>
      <c r="C224" s="2" t="s">
        <v>245</v>
      </c>
      <c r="D224" s="2" t="s">
        <v>22</v>
      </c>
    </row>
    <row r="225" spans="1:4" x14ac:dyDescent="0.35">
      <c r="A225" s="2" t="s">
        <v>69</v>
      </c>
      <c r="B225" s="3">
        <v>46251</v>
      </c>
      <c r="C225" s="2" t="s">
        <v>245</v>
      </c>
      <c r="D225" s="2" t="s">
        <v>22</v>
      </c>
    </row>
    <row r="226" spans="1:4" x14ac:dyDescent="0.35">
      <c r="A226" s="2" t="s">
        <v>69</v>
      </c>
      <c r="B226" s="3">
        <v>46217</v>
      </c>
      <c r="C226" s="2" t="s">
        <v>30</v>
      </c>
      <c r="D226" s="2" t="s">
        <v>22</v>
      </c>
    </row>
    <row r="227" spans="1:4" x14ac:dyDescent="0.35">
      <c r="A227" s="2" t="s">
        <v>69</v>
      </c>
      <c r="B227" s="3">
        <v>46295</v>
      </c>
      <c r="C227" s="2" t="s">
        <v>245</v>
      </c>
      <c r="D227" s="2" t="s">
        <v>22</v>
      </c>
    </row>
    <row r="228" spans="1:4" x14ac:dyDescent="0.35">
      <c r="A228" s="2" t="s">
        <v>69</v>
      </c>
      <c r="B228" s="3">
        <v>46280</v>
      </c>
      <c r="C228" s="2" t="s">
        <v>245</v>
      </c>
      <c r="D228" s="2" t="s">
        <v>22</v>
      </c>
    </row>
    <row r="229" spans="1:4" x14ac:dyDescent="0.35">
      <c r="A229" s="2" t="s">
        <v>69</v>
      </c>
      <c r="B229" s="3">
        <v>46237</v>
      </c>
      <c r="C229" s="2" t="s">
        <v>246</v>
      </c>
      <c r="D229" s="2" t="s">
        <v>22</v>
      </c>
    </row>
    <row r="230" spans="1:4" x14ac:dyDescent="0.35">
      <c r="A230" s="2" t="s">
        <v>72</v>
      </c>
      <c r="B230" s="3">
        <v>46290</v>
      </c>
      <c r="C230" s="2" t="s">
        <v>246</v>
      </c>
      <c r="D230" s="2" t="s">
        <v>41</v>
      </c>
    </row>
    <row r="231" spans="1:4" x14ac:dyDescent="0.35">
      <c r="A231" s="2" t="s">
        <v>72</v>
      </c>
      <c r="B231" s="3">
        <v>46217</v>
      </c>
      <c r="C231" s="2" t="s">
        <v>247</v>
      </c>
      <c r="D231" s="2" t="s">
        <v>41</v>
      </c>
    </row>
    <row r="232" spans="1:4" x14ac:dyDescent="0.35">
      <c r="A232" s="2" t="s">
        <v>72</v>
      </c>
      <c r="B232" s="3">
        <v>46240</v>
      </c>
      <c r="C232" s="2" t="s">
        <v>246</v>
      </c>
      <c r="D232" s="2" t="s">
        <v>41</v>
      </c>
    </row>
    <row r="233" spans="1:4" x14ac:dyDescent="0.35">
      <c r="A233" s="2" t="s">
        <v>72</v>
      </c>
      <c r="B233" s="3">
        <v>46254</v>
      </c>
      <c r="C233" s="2" t="s">
        <v>245</v>
      </c>
      <c r="D233" s="2" t="s">
        <v>41</v>
      </c>
    </row>
    <row r="234" spans="1:4" x14ac:dyDescent="0.35">
      <c r="A234" s="2" t="s">
        <v>72</v>
      </c>
      <c r="B234" s="3">
        <v>46268</v>
      </c>
      <c r="C234" s="2" t="s">
        <v>30</v>
      </c>
      <c r="D234" s="2" t="s">
        <v>41</v>
      </c>
    </row>
    <row r="235" spans="1:4" x14ac:dyDescent="0.35">
      <c r="A235" s="2" t="s">
        <v>72</v>
      </c>
      <c r="B235" s="3">
        <v>46230</v>
      </c>
      <c r="C235" s="2" t="s">
        <v>246</v>
      </c>
      <c r="D235" s="2" t="s">
        <v>41</v>
      </c>
    </row>
    <row r="236" spans="1:4" x14ac:dyDescent="0.35">
      <c r="A236" s="2" t="s">
        <v>72</v>
      </c>
      <c r="B236" s="3">
        <v>46218</v>
      </c>
      <c r="C236" s="2" t="s">
        <v>246</v>
      </c>
      <c r="D236" s="2" t="s">
        <v>41</v>
      </c>
    </row>
    <row r="237" spans="1:4" x14ac:dyDescent="0.35">
      <c r="A237" s="2" t="s">
        <v>72</v>
      </c>
      <c r="B237" s="3">
        <v>46255</v>
      </c>
      <c r="C237" s="2" t="s">
        <v>247</v>
      </c>
      <c r="D237" s="2" t="s">
        <v>41</v>
      </c>
    </row>
    <row r="238" spans="1:4" x14ac:dyDescent="0.35">
      <c r="A238" s="2" t="s">
        <v>72</v>
      </c>
      <c r="B238" s="3">
        <v>46269</v>
      </c>
      <c r="C238" s="2" t="s">
        <v>245</v>
      </c>
      <c r="D238" s="2" t="s">
        <v>41</v>
      </c>
    </row>
    <row r="239" spans="1:4" x14ac:dyDescent="0.35">
      <c r="A239" s="2" t="s">
        <v>72</v>
      </c>
      <c r="B239" s="3">
        <v>46209</v>
      </c>
      <c r="C239" s="2" t="s">
        <v>246</v>
      </c>
      <c r="D239" s="2" t="s">
        <v>41</v>
      </c>
    </row>
    <row r="240" spans="1:4" x14ac:dyDescent="0.35">
      <c r="A240" s="2" t="s">
        <v>72</v>
      </c>
      <c r="B240" s="3">
        <v>46246</v>
      </c>
      <c r="C240" s="2" t="s">
        <v>245</v>
      </c>
      <c r="D240" s="2" t="s">
        <v>41</v>
      </c>
    </row>
    <row r="241" spans="1:4" x14ac:dyDescent="0.35">
      <c r="A241" s="2" t="s">
        <v>72</v>
      </c>
      <c r="B241" s="3">
        <v>46273</v>
      </c>
      <c r="C241" s="2" t="s">
        <v>246</v>
      </c>
      <c r="D241" s="2" t="s">
        <v>41</v>
      </c>
    </row>
    <row r="242" spans="1:4" x14ac:dyDescent="0.35">
      <c r="A242" s="2" t="s">
        <v>74</v>
      </c>
      <c r="B242" s="3">
        <v>46225</v>
      </c>
      <c r="C242" s="2" t="s">
        <v>246</v>
      </c>
      <c r="D242" s="2" t="s">
        <v>33</v>
      </c>
    </row>
    <row r="243" spans="1:4" x14ac:dyDescent="0.35">
      <c r="A243" s="2" t="s">
        <v>74</v>
      </c>
      <c r="B243" s="3">
        <v>46258</v>
      </c>
      <c r="C243" s="2" t="s">
        <v>246</v>
      </c>
      <c r="D243" s="2" t="s">
        <v>33</v>
      </c>
    </row>
    <row r="244" spans="1:4" x14ac:dyDescent="0.35">
      <c r="A244" s="2" t="s">
        <v>74</v>
      </c>
      <c r="B244" s="3">
        <v>46251</v>
      </c>
      <c r="C244" s="2" t="s">
        <v>246</v>
      </c>
      <c r="D244" s="2" t="s">
        <v>33</v>
      </c>
    </row>
    <row r="245" spans="1:4" x14ac:dyDescent="0.35">
      <c r="A245" s="2" t="s">
        <v>74</v>
      </c>
      <c r="B245" s="3">
        <v>46206</v>
      </c>
      <c r="C245" s="2" t="s">
        <v>246</v>
      </c>
      <c r="D245" s="2" t="s">
        <v>33</v>
      </c>
    </row>
    <row r="246" spans="1:4" x14ac:dyDescent="0.35">
      <c r="A246" s="2" t="s">
        <v>74</v>
      </c>
      <c r="B246" s="3">
        <v>46245</v>
      </c>
      <c r="C246" s="2" t="s">
        <v>246</v>
      </c>
      <c r="D246" s="2" t="s">
        <v>33</v>
      </c>
    </row>
    <row r="247" spans="1:4" x14ac:dyDescent="0.35">
      <c r="A247" s="2" t="s">
        <v>74</v>
      </c>
      <c r="B247" s="3">
        <v>46287</v>
      </c>
      <c r="C247" s="2" t="s">
        <v>30</v>
      </c>
      <c r="D247" s="2" t="s">
        <v>33</v>
      </c>
    </row>
    <row r="248" spans="1:4" x14ac:dyDescent="0.35">
      <c r="A248" s="2" t="s">
        <v>74</v>
      </c>
      <c r="B248" s="3">
        <v>46226</v>
      </c>
      <c r="C248" s="2" t="s">
        <v>246</v>
      </c>
      <c r="D248" s="2" t="s">
        <v>33</v>
      </c>
    </row>
    <row r="249" spans="1:4" x14ac:dyDescent="0.35">
      <c r="A249" s="2" t="s">
        <v>74</v>
      </c>
      <c r="B249" s="3">
        <v>46255</v>
      </c>
      <c r="C249" s="2" t="s">
        <v>246</v>
      </c>
      <c r="D249" s="2" t="s">
        <v>33</v>
      </c>
    </row>
    <row r="250" spans="1:4" x14ac:dyDescent="0.35">
      <c r="A250" s="2" t="s">
        <v>74</v>
      </c>
      <c r="B250" s="3">
        <v>46261</v>
      </c>
      <c r="C250" s="2" t="s">
        <v>246</v>
      </c>
      <c r="D250" s="2" t="s">
        <v>33</v>
      </c>
    </row>
    <row r="251" spans="1:4" x14ac:dyDescent="0.35">
      <c r="A251" s="2" t="s">
        <v>74</v>
      </c>
      <c r="B251" s="3">
        <v>46233</v>
      </c>
      <c r="C251" s="2" t="s">
        <v>246</v>
      </c>
      <c r="D251" s="2" t="s">
        <v>33</v>
      </c>
    </row>
    <row r="252" spans="1:4" x14ac:dyDescent="0.35">
      <c r="A252" s="2" t="s">
        <v>74</v>
      </c>
      <c r="B252" s="3">
        <v>46213</v>
      </c>
      <c r="C252" s="2" t="s">
        <v>246</v>
      </c>
      <c r="D252" s="2" t="s">
        <v>33</v>
      </c>
    </row>
    <row r="253" spans="1:4" x14ac:dyDescent="0.35">
      <c r="A253" s="2" t="s">
        <v>74</v>
      </c>
      <c r="B253" s="3">
        <v>46234</v>
      </c>
      <c r="C253" s="2" t="s">
        <v>245</v>
      </c>
      <c r="D253" s="2" t="s">
        <v>33</v>
      </c>
    </row>
    <row r="254" spans="1:4" x14ac:dyDescent="0.35">
      <c r="A254" s="2" t="s">
        <v>76</v>
      </c>
      <c r="B254" s="3">
        <v>46287</v>
      </c>
      <c r="C254" s="2" t="s">
        <v>30</v>
      </c>
      <c r="D254" s="2" t="s">
        <v>22</v>
      </c>
    </row>
    <row r="255" spans="1:4" x14ac:dyDescent="0.35">
      <c r="A255" s="2" t="s">
        <v>76</v>
      </c>
      <c r="B255" s="3">
        <v>46288</v>
      </c>
      <c r="C255" s="2" t="s">
        <v>30</v>
      </c>
      <c r="D255" s="2" t="s">
        <v>22</v>
      </c>
    </row>
    <row r="256" spans="1:4" x14ac:dyDescent="0.35">
      <c r="A256" s="2" t="s">
        <v>76</v>
      </c>
      <c r="B256" s="3">
        <v>46272</v>
      </c>
      <c r="C256" s="2" t="s">
        <v>246</v>
      </c>
      <c r="D256" s="2" t="s">
        <v>22</v>
      </c>
    </row>
    <row r="257" spans="1:4" x14ac:dyDescent="0.35">
      <c r="A257" s="2" t="s">
        <v>76</v>
      </c>
      <c r="B257" s="3">
        <v>46213</v>
      </c>
      <c r="C257" s="2" t="s">
        <v>246</v>
      </c>
      <c r="D257" s="2" t="s">
        <v>22</v>
      </c>
    </row>
    <row r="258" spans="1:4" x14ac:dyDescent="0.35">
      <c r="A258" s="2" t="s">
        <v>76</v>
      </c>
      <c r="B258" s="3">
        <v>46286</v>
      </c>
      <c r="C258" s="2" t="s">
        <v>30</v>
      </c>
      <c r="D258" s="2" t="s">
        <v>22</v>
      </c>
    </row>
    <row r="259" spans="1:4" x14ac:dyDescent="0.35">
      <c r="A259" s="2" t="s">
        <v>76</v>
      </c>
      <c r="B259" s="3">
        <v>46252</v>
      </c>
      <c r="C259" s="2" t="s">
        <v>246</v>
      </c>
      <c r="D259" s="2" t="s">
        <v>22</v>
      </c>
    </row>
    <row r="260" spans="1:4" x14ac:dyDescent="0.35">
      <c r="A260" s="2" t="s">
        <v>76</v>
      </c>
      <c r="B260" s="3">
        <v>46254</v>
      </c>
      <c r="C260" s="2" t="s">
        <v>246</v>
      </c>
      <c r="D260" s="2" t="s">
        <v>22</v>
      </c>
    </row>
    <row r="261" spans="1:4" x14ac:dyDescent="0.35">
      <c r="A261" s="2" t="s">
        <v>76</v>
      </c>
      <c r="B261" s="3">
        <v>46226</v>
      </c>
      <c r="C261" s="2" t="s">
        <v>247</v>
      </c>
      <c r="D261" s="2" t="s">
        <v>22</v>
      </c>
    </row>
    <row r="262" spans="1:4" x14ac:dyDescent="0.35">
      <c r="A262" s="2" t="s">
        <v>76</v>
      </c>
      <c r="B262" s="3">
        <v>46217</v>
      </c>
      <c r="C262" s="2" t="s">
        <v>246</v>
      </c>
      <c r="D262" s="2" t="s">
        <v>22</v>
      </c>
    </row>
    <row r="263" spans="1:4" x14ac:dyDescent="0.35">
      <c r="A263" s="2" t="s">
        <v>76</v>
      </c>
      <c r="B263" s="3">
        <v>46240</v>
      </c>
      <c r="C263" s="2" t="s">
        <v>246</v>
      </c>
      <c r="D263" s="2" t="s">
        <v>22</v>
      </c>
    </row>
    <row r="264" spans="1:4" x14ac:dyDescent="0.35">
      <c r="A264" s="2" t="s">
        <v>76</v>
      </c>
      <c r="B264" s="3">
        <v>46231</v>
      </c>
      <c r="C264" s="2" t="s">
        <v>30</v>
      </c>
      <c r="D264" s="2" t="s">
        <v>22</v>
      </c>
    </row>
    <row r="265" spans="1:4" x14ac:dyDescent="0.35">
      <c r="A265" s="2" t="s">
        <v>76</v>
      </c>
      <c r="B265" s="3">
        <v>46262</v>
      </c>
      <c r="C265" s="2" t="s">
        <v>245</v>
      </c>
      <c r="D265" s="2" t="s">
        <v>22</v>
      </c>
    </row>
    <row r="266" spans="1:4" x14ac:dyDescent="0.35">
      <c r="A266" s="2" t="s">
        <v>78</v>
      </c>
      <c r="B266" s="3">
        <v>46260</v>
      </c>
      <c r="C266" s="2" t="s">
        <v>245</v>
      </c>
      <c r="D266" s="2" t="s">
        <v>41</v>
      </c>
    </row>
    <row r="267" spans="1:4" x14ac:dyDescent="0.35">
      <c r="A267" s="2" t="s">
        <v>78</v>
      </c>
      <c r="B267" s="3">
        <v>46268</v>
      </c>
      <c r="C267" s="2" t="s">
        <v>245</v>
      </c>
      <c r="D267" s="2" t="s">
        <v>41</v>
      </c>
    </row>
    <row r="268" spans="1:4" x14ac:dyDescent="0.35">
      <c r="A268" s="2" t="s">
        <v>78</v>
      </c>
      <c r="B268" s="3">
        <v>46289</v>
      </c>
      <c r="C268" s="2" t="s">
        <v>245</v>
      </c>
      <c r="D268" s="2" t="s">
        <v>41</v>
      </c>
    </row>
    <row r="269" spans="1:4" x14ac:dyDescent="0.35">
      <c r="A269" s="2" t="s">
        <v>78</v>
      </c>
      <c r="B269" s="3">
        <v>46275</v>
      </c>
      <c r="C269" s="2" t="s">
        <v>30</v>
      </c>
      <c r="D269" s="2" t="s">
        <v>41</v>
      </c>
    </row>
    <row r="270" spans="1:4" x14ac:dyDescent="0.35">
      <c r="A270" s="2" t="s">
        <v>78</v>
      </c>
      <c r="B270" s="3">
        <v>46226</v>
      </c>
      <c r="C270" s="2" t="s">
        <v>30</v>
      </c>
      <c r="D270" s="2" t="s">
        <v>41</v>
      </c>
    </row>
    <row r="271" spans="1:4" x14ac:dyDescent="0.35">
      <c r="A271" s="2" t="s">
        <v>78</v>
      </c>
      <c r="B271" s="3">
        <v>46240</v>
      </c>
      <c r="C271" s="2" t="s">
        <v>246</v>
      </c>
      <c r="D271" s="2" t="s">
        <v>41</v>
      </c>
    </row>
    <row r="272" spans="1:4" x14ac:dyDescent="0.35">
      <c r="A272" s="2" t="s">
        <v>78</v>
      </c>
      <c r="B272" s="3">
        <v>46293</v>
      </c>
      <c r="C272" s="2" t="s">
        <v>245</v>
      </c>
      <c r="D272" s="2" t="s">
        <v>41</v>
      </c>
    </row>
    <row r="273" spans="1:4" x14ac:dyDescent="0.35">
      <c r="A273" s="2" t="s">
        <v>78</v>
      </c>
      <c r="B273" s="3">
        <v>46290</v>
      </c>
      <c r="C273" s="2" t="s">
        <v>247</v>
      </c>
      <c r="D273" s="2" t="s">
        <v>41</v>
      </c>
    </row>
    <row r="274" spans="1:4" x14ac:dyDescent="0.35">
      <c r="A274" s="2" t="s">
        <v>78</v>
      </c>
      <c r="B274" s="3">
        <v>46237</v>
      </c>
      <c r="C274" s="2" t="s">
        <v>246</v>
      </c>
      <c r="D274" s="2" t="s">
        <v>41</v>
      </c>
    </row>
    <row r="275" spans="1:4" x14ac:dyDescent="0.35">
      <c r="A275" s="2" t="s">
        <v>78</v>
      </c>
      <c r="B275" s="3">
        <v>46212</v>
      </c>
      <c r="C275" s="2" t="s">
        <v>246</v>
      </c>
      <c r="D275" s="2" t="s">
        <v>41</v>
      </c>
    </row>
    <row r="276" spans="1:4" x14ac:dyDescent="0.35">
      <c r="A276" s="2" t="s">
        <v>78</v>
      </c>
      <c r="B276" s="3">
        <v>46258</v>
      </c>
      <c r="C276" s="2" t="s">
        <v>247</v>
      </c>
      <c r="D276" s="2" t="s">
        <v>41</v>
      </c>
    </row>
    <row r="277" spans="1:4" x14ac:dyDescent="0.35">
      <c r="A277" s="2" t="s">
        <v>78</v>
      </c>
      <c r="B277" s="3">
        <v>46216</v>
      </c>
      <c r="C277" s="2" t="s">
        <v>30</v>
      </c>
      <c r="D277" s="2" t="s">
        <v>41</v>
      </c>
    </row>
    <row r="278" spans="1:4" x14ac:dyDescent="0.35">
      <c r="A278" s="2" t="s">
        <v>80</v>
      </c>
      <c r="B278" s="3">
        <v>46262</v>
      </c>
      <c r="C278" s="2" t="s">
        <v>247</v>
      </c>
      <c r="D278" s="2" t="s">
        <v>37</v>
      </c>
    </row>
    <row r="279" spans="1:4" x14ac:dyDescent="0.35">
      <c r="A279" s="2" t="s">
        <v>80</v>
      </c>
      <c r="B279" s="3">
        <v>46245</v>
      </c>
      <c r="C279" s="2" t="s">
        <v>30</v>
      </c>
      <c r="D279" s="2" t="s">
        <v>37</v>
      </c>
    </row>
    <row r="280" spans="1:4" x14ac:dyDescent="0.35">
      <c r="A280" s="2" t="s">
        <v>80</v>
      </c>
      <c r="B280" s="3">
        <v>46244</v>
      </c>
      <c r="C280" s="2" t="s">
        <v>245</v>
      </c>
      <c r="D280" s="2" t="s">
        <v>37</v>
      </c>
    </row>
    <row r="281" spans="1:4" x14ac:dyDescent="0.35">
      <c r="A281" s="2" t="s">
        <v>80</v>
      </c>
      <c r="B281" s="3">
        <v>46231</v>
      </c>
      <c r="C281" s="2" t="s">
        <v>247</v>
      </c>
      <c r="D281" s="2" t="s">
        <v>37</v>
      </c>
    </row>
    <row r="282" spans="1:4" x14ac:dyDescent="0.35">
      <c r="A282" s="2" t="s">
        <v>80</v>
      </c>
      <c r="B282" s="3">
        <v>46219</v>
      </c>
      <c r="C282" s="2" t="s">
        <v>246</v>
      </c>
      <c r="D282" s="2" t="s">
        <v>37</v>
      </c>
    </row>
    <row r="283" spans="1:4" x14ac:dyDescent="0.35">
      <c r="A283" s="2" t="s">
        <v>80</v>
      </c>
      <c r="B283" s="3">
        <v>46247</v>
      </c>
      <c r="C283" s="2" t="s">
        <v>245</v>
      </c>
      <c r="D283" s="2" t="s">
        <v>37</v>
      </c>
    </row>
    <row r="284" spans="1:4" x14ac:dyDescent="0.35">
      <c r="A284" s="2" t="s">
        <v>80</v>
      </c>
      <c r="B284" s="3">
        <v>46241</v>
      </c>
      <c r="C284" s="2" t="s">
        <v>246</v>
      </c>
      <c r="D284" s="2" t="s">
        <v>37</v>
      </c>
    </row>
    <row r="285" spans="1:4" x14ac:dyDescent="0.35">
      <c r="A285" s="2" t="s">
        <v>80</v>
      </c>
      <c r="B285" s="3">
        <v>46276</v>
      </c>
      <c r="C285" s="2" t="s">
        <v>246</v>
      </c>
      <c r="D285" s="2" t="s">
        <v>37</v>
      </c>
    </row>
    <row r="286" spans="1:4" x14ac:dyDescent="0.35">
      <c r="A286" s="2" t="s">
        <v>80</v>
      </c>
      <c r="B286" s="3">
        <v>46281</v>
      </c>
      <c r="C286" s="2" t="s">
        <v>246</v>
      </c>
      <c r="D286" s="2" t="s">
        <v>37</v>
      </c>
    </row>
    <row r="287" spans="1:4" x14ac:dyDescent="0.35">
      <c r="A287" s="2" t="s">
        <v>80</v>
      </c>
      <c r="B287" s="3">
        <v>46246</v>
      </c>
      <c r="C287" s="2" t="s">
        <v>246</v>
      </c>
      <c r="D287" s="2" t="s">
        <v>37</v>
      </c>
    </row>
    <row r="288" spans="1:4" x14ac:dyDescent="0.35">
      <c r="A288" s="2" t="s">
        <v>80</v>
      </c>
      <c r="B288" s="3">
        <v>46204</v>
      </c>
      <c r="C288" s="2" t="s">
        <v>30</v>
      </c>
      <c r="D288" s="2" t="s">
        <v>37</v>
      </c>
    </row>
    <row r="289" spans="1:4" x14ac:dyDescent="0.35">
      <c r="A289" s="2" t="s">
        <v>80</v>
      </c>
      <c r="B289" s="3">
        <v>46234</v>
      </c>
      <c r="C289" s="2" t="s">
        <v>246</v>
      </c>
      <c r="D289" s="2" t="s">
        <v>37</v>
      </c>
    </row>
    <row r="290" spans="1:4" x14ac:dyDescent="0.35">
      <c r="A290" s="2" t="s">
        <v>83</v>
      </c>
      <c r="B290" s="3">
        <v>46283</v>
      </c>
      <c r="C290" s="2" t="s">
        <v>30</v>
      </c>
      <c r="D290" s="2" t="s">
        <v>33</v>
      </c>
    </row>
    <row r="291" spans="1:4" x14ac:dyDescent="0.35">
      <c r="A291" s="2" t="s">
        <v>83</v>
      </c>
      <c r="B291" s="3">
        <v>46253</v>
      </c>
      <c r="C291" s="2" t="s">
        <v>30</v>
      </c>
      <c r="D291" s="2" t="s">
        <v>33</v>
      </c>
    </row>
    <row r="292" spans="1:4" x14ac:dyDescent="0.35">
      <c r="A292" s="2" t="s">
        <v>83</v>
      </c>
      <c r="B292" s="3">
        <v>46216</v>
      </c>
      <c r="C292" s="2" t="s">
        <v>246</v>
      </c>
      <c r="D292" s="2" t="s">
        <v>33</v>
      </c>
    </row>
    <row r="293" spans="1:4" x14ac:dyDescent="0.35">
      <c r="A293" s="2" t="s">
        <v>83</v>
      </c>
      <c r="B293" s="3">
        <v>46266</v>
      </c>
      <c r="C293" s="2" t="s">
        <v>246</v>
      </c>
      <c r="D293" s="2" t="s">
        <v>33</v>
      </c>
    </row>
    <row r="294" spans="1:4" x14ac:dyDescent="0.35">
      <c r="A294" s="2" t="s">
        <v>83</v>
      </c>
      <c r="B294" s="3">
        <v>46286</v>
      </c>
      <c r="C294" s="2" t="s">
        <v>247</v>
      </c>
      <c r="D294" s="2" t="s">
        <v>33</v>
      </c>
    </row>
    <row r="295" spans="1:4" x14ac:dyDescent="0.35">
      <c r="A295" s="2" t="s">
        <v>83</v>
      </c>
      <c r="B295" s="3">
        <v>46204</v>
      </c>
      <c r="C295" s="2" t="s">
        <v>245</v>
      </c>
      <c r="D295" s="2" t="s">
        <v>33</v>
      </c>
    </row>
    <row r="296" spans="1:4" x14ac:dyDescent="0.35">
      <c r="A296" s="2" t="s">
        <v>83</v>
      </c>
      <c r="B296" s="3">
        <v>46218</v>
      </c>
      <c r="C296" s="2" t="s">
        <v>30</v>
      </c>
      <c r="D296" s="2" t="s">
        <v>33</v>
      </c>
    </row>
    <row r="297" spans="1:4" x14ac:dyDescent="0.35">
      <c r="A297" s="2" t="s">
        <v>83</v>
      </c>
      <c r="B297" s="3">
        <v>46209</v>
      </c>
      <c r="C297" s="2" t="s">
        <v>245</v>
      </c>
      <c r="D297" s="2" t="s">
        <v>33</v>
      </c>
    </row>
    <row r="298" spans="1:4" x14ac:dyDescent="0.35">
      <c r="A298" s="2" t="s">
        <v>83</v>
      </c>
      <c r="B298" s="3">
        <v>46260</v>
      </c>
      <c r="C298" s="2" t="s">
        <v>246</v>
      </c>
      <c r="D298" s="2" t="s">
        <v>33</v>
      </c>
    </row>
    <row r="299" spans="1:4" x14ac:dyDescent="0.35">
      <c r="A299" s="2" t="s">
        <v>83</v>
      </c>
      <c r="B299" s="3">
        <v>46269</v>
      </c>
      <c r="C299" s="2" t="s">
        <v>247</v>
      </c>
      <c r="D299" s="2" t="s">
        <v>33</v>
      </c>
    </row>
    <row r="300" spans="1:4" x14ac:dyDescent="0.35">
      <c r="A300" s="2" t="s">
        <v>83</v>
      </c>
      <c r="B300" s="3">
        <v>46230</v>
      </c>
      <c r="C300" s="2" t="s">
        <v>30</v>
      </c>
      <c r="D300" s="2" t="s">
        <v>33</v>
      </c>
    </row>
    <row r="301" spans="1:4" x14ac:dyDescent="0.35">
      <c r="A301" s="2" t="s">
        <v>83</v>
      </c>
      <c r="B301" s="3">
        <v>46227</v>
      </c>
      <c r="C301" s="2" t="s">
        <v>245</v>
      </c>
      <c r="D301" s="2" t="s">
        <v>33</v>
      </c>
    </row>
    <row r="302" spans="1:4" x14ac:dyDescent="0.35">
      <c r="A302" s="2" t="s">
        <v>85</v>
      </c>
      <c r="B302" s="3">
        <v>46287</v>
      </c>
      <c r="C302" s="2" t="s">
        <v>247</v>
      </c>
      <c r="D302" s="2" t="s">
        <v>33</v>
      </c>
    </row>
    <row r="303" spans="1:4" x14ac:dyDescent="0.35">
      <c r="A303" s="2" t="s">
        <v>85</v>
      </c>
      <c r="B303" s="3">
        <v>46273</v>
      </c>
      <c r="C303" s="2" t="s">
        <v>246</v>
      </c>
      <c r="D303" s="2" t="s">
        <v>33</v>
      </c>
    </row>
    <row r="304" spans="1:4" x14ac:dyDescent="0.35">
      <c r="A304" s="2" t="s">
        <v>85</v>
      </c>
      <c r="B304" s="3">
        <v>46241</v>
      </c>
      <c r="C304" s="2" t="s">
        <v>245</v>
      </c>
      <c r="D304" s="2" t="s">
        <v>33</v>
      </c>
    </row>
    <row r="305" spans="1:4" x14ac:dyDescent="0.35">
      <c r="A305" s="2" t="s">
        <v>85</v>
      </c>
      <c r="B305" s="3">
        <v>46248</v>
      </c>
      <c r="C305" s="2" t="s">
        <v>246</v>
      </c>
      <c r="D305" s="2" t="s">
        <v>33</v>
      </c>
    </row>
    <row r="306" spans="1:4" x14ac:dyDescent="0.35">
      <c r="A306" s="2" t="s">
        <v>85</v>
      </c>
      <c r="B306" s="3">
        <v>46210</v>
      </c>
      <c r="C306" s="2" t="s">
        <v>245</v>
      </c>
      <c r="D306" s="2" t="s">
        <v>33</v>
      </c>
    </row>
    <row r="307" spans="1:4" x14ac:dyDescent="0.35">
      <c r="A307" s="2" t="s">
        <v>85</v>
      </c>
      <c r="B307" s="3">
        <v>46213</v>
      </c>
      <c r="C307" s="2" t="s">
        <v>247</v>
      </c>
      <c r="D307" s="2" t="s">
        <v>33</v>
      </c>
    </row>
    <row r="308" spans="1:4" x14ac:dyDescent="0.35">
      <c r="A308" s="2" t="s">
        <v>85</v>
      </c>
      <c r="B308" s="3">
        <v>46266</v>
      </c>
      <c r="C308" s="2" t="s">
        <v>245</v>
      </c>
      <c r="D308" s="2" t="s">
        <v>33</v>
      </c>
    </row>
    <row r="309" spans="1:4" x14ac:dyDescent="0.35">
      <c r="A309" s="2" t="s">
        <v>85</v>
      </c>
      <c r="B309" s="3">
        <v>46220</v>
      </c>
      <c r="C309" s="2" t="s">
        <v>245</v>
      </c>
      <c r="D309" s="2" t="s">
        <v>33</v>
      </c>
    </row>
    <row r="310" spans="1:4" x14ac:dyDescent="0.35">
      <c r="A310" s="2" t="s">
        <v>85</v>
      </c>
      <c r="B310" s="3">
        <v>46230</v>
      </c>
      <c r="C310" s="2" t="s">
        <v>245</v>
      </c>
      <c r="D310" s="2" t="s">
        <v>33</v>
      </c>
    </row>
    <row r="311" spans="1:4" x14ac:dyDescent="0.35">
      <c r="A311" s="2" t="s">
        <v>85</v>
      </c>
      <c r="B311" s="3">
        <v>46258</v>
      </c>
      <c r="C311" s="2" t="s">
        <v>247</v>
      </c>
      <c r="D311" s="2" t="s">
        <v>33</v>
      </c>
    </row>
    <row r="312" spans="1:4" x14ac:dyDescent="0.35">
      <c r="A312" s="2" t="s">
        <v>85</v>
      </c>
      <c r="B312" s="3">
        <v>46251</v>
      </c>
      <c r="C312" s="2" t="s">
        <v>30</v>
      </c>
      <c r="D312" s="2" t="s">
        <v>33</v>
      </c>
    </row>
    <row r="313" spans="1:4" x14ac:dyDescent="0.35">
      <c r="A313" s="2" t="s">
        <v>85</v>
      </c>
      <c r="B313" s="3">
        <v>46253</v>
      </c>
      <c r="C313" s="2" t="s">
        <v>245</v>
      </c>
      <c r="D313" s="2" t="s">
        <v>33</v>
      </c>
    </row>
    <row r="314" spans="1:4" x14ac:dyDescent="0.35">
      <c r="A314" s="2" t="s">
        <v>88</v>
      </c>
      <c r="B314" s="3">
        <v>46204</v>
      </c>
      <c r="C314" s="2" t="s">
        <v>247</v>
      </c>
      <c r="D314" s="2" t="s">
        <v>37</v>
      </c>
    </row>
    <row r="315" spans="1:4" x14ac:dyDescent="0.35">
      <c r="A315" s="2" t="s">
        <v>88</v>
      </c>
      <c r="B315" s="3">
        <v>46237</v>
      </c>
      <c r="C315" s="2" t="s">
        <v>246</v>
      </c>
      <c r="D315" s="2" t="s">
        <v>37</v>
      </c>
    </row>
    <row r="316" spans="1:4" x14ac:dyDescent="0.35">
      <c r="A316" s="2" t="s">
        <v>88</v>
      </c>
      <c r="B316" s="3">
        <v>46269</v>
      </c>
      <c r="C316" s="2" t="s">
        <v>247</v>
      </c>
      <c r="D316" s="2" t="s">
        <v>37</v>
      </c>
    </row>
    <row r="317" spans="1:4" x14ac:dyDescent="0.35">
      <c r="A317" s="2" t="s">
        <v>88</v>
      </c>
      <c r="B317" s="3">
        <v>46294</v>
      </c>
      <c r="C317" s="2" t="s">
        <v>247</v>
      </c>
      <c r="D317" s="2" t="s">
        <v>37</v>
      </c>
    </row>
    <row r="318" spans="1:4" x14ac:dyDescent="0.35">
      <c r="A318" s="2" t="s">
        <v>88</v>
      </c>
      <c r="B318" s="3">
        <v>46280</v>
      </c>
      <c r="C318" s="2" t="s">
        <v>246</v>
      </c>
      <c r="D318" s="2" t="s">
        <v>37</v>
      </c>
    </row>
    <row r="319" spans="1:4" x14ac:dyDescent="0.35">
      <c r="A319" s="2" t="s">
        <v>88</v>
      </c>
      <c r="B319" s="3">
        <v>46258</v>
      </c>
      <c r="C319" s="2" t="s">
        <v>246</v>
      </c>
      <c r="D319" s="2" t="s">
        <v>37</v>
      </c>
    </row>
    <row r="320" spans="1:4" x14ac:dyDescent="0.35">
      <c r="A320" s="2" t="s">
        <v>88</v>
      </c>
      <c r="B320" s="3">
        <v>46245</v>
      </c>
      <c r="C320" s="2" t="s">
        <v>247</v>
      </c>
      <c r="D320" s="2" t="s">
        <v>37</v>
      </c>
    </row>
    <row r="321" spans="1:4" x14ac:dyDescent="0.35">
      <c r="A321" s="2" t="s">
        <v>88</v>
      </c>
      <c r="B321" s="3">
        <v>46288</v>
      </c>
      <c r="C321" s="2" t="s">
        <v>247</v>
      </c>
      <c r="D321" s="2" t="s">
        <v>37</v>
      </c>
    </row>
    <row r="322" spans="1:4" x14ac:dyDescent="0.35">
      <c r="A322" s="2" t="s">
        <v>88</v>
      </c>
      <c r="B322" s="3">
        <v>46219</v>
      </c>
      <c r="C322" s="2" t="s">
        <v>247</v>
      </c>
      <c r="D322" s="2" t="s">
        <v>37</v>
      </c>
    </row>
    <row r="323" spans="1:4" x14ac:dyDescent="0.35">
      <c r="A323" s="2" t="s">
        <v>88</v>
      </c>
      <c r="B323" s="3">
        <v>46272</v>
      </c>
      <c r="C323" s="2" t="s">
        <v>246</v>
      </c>
      <c r="D323" s="2" t="s">
        <v>37</v>
      </c>
    </row>
    <row r="324" spans="1:4" x14ac:dyDescent="0.35">
      <c r="A324" s="2" t="s">
        <v>88</v>
      </c>
      <c r="B324" s="3">
        <v>46260</v>
      </c>
      <c r="C324" s="2" t="s">
        <v>247</v>
      </c>
      <c r="D324" s="2" t="s">
        <v>37</v>
      </c>
    </row>
    <row r="325" spans="1:4" x14ac:dyDescent="0.35">
      <c r="A325" s="2" t="s">
        <v>88</v>
      </c>
      <c r="B325" s="3">
        <v>46267</v>
      </c>
      <c r="C325" s="2" t="s">
        <v>247</v>
      </c>
      <c r="D325" s="2" t="s">
        <v>37</v>
      </c>
    </row>
    <row r="326" spans="1:4" x14ac:dyDescent="0.35">
      <c r="A326" s="2" t="s">
        <v>91</v>
      </c>
      <c r="B326" s="3">
        <v>46211</v>
      </c>
      <c r="C326" s="2" t="s">
        <v>246</v>
      </c>
      <c r="D326" s="2" t="s">
        <v>17</v>
      </c>
    </row>
    <row r="327" spans="1:4" x14ac:dyDescent="0.35">
      <c r="A327" s="2" t="s">
        <v>91</v>
      </c>
      <c r="B327" s="3">
        <v>46294</v>
      </c>
      <c r="C327" s="2" t="s">
        <v>30</v>
      </c>
      <c r="D327" s="2" t="s">
        <v>17</v>
      </c>
    </row>
    <row r="328" spans="1:4" x14ac:dyDescent="0.35">
      <c r="A328" s="2" t="s">
        <v>91</v>
      </c>
      <c r="B328" s="3">
        <v>46279</v>
      </c>
      <c r="C328" s="2" t="s">
        <v>245</v>
      </c>
      <c r="D328" s="2" t="s">
        <v>17</v>
      </c>
    </row>
    <row r="329" spans="1:4" x14ac:dyDescent="0.35">
      <c r="A329" s="2" t="s">
        <v>91</v>
      </c>
      <c r="B329" s="3">
        <v>46273</v>
      </c>
      <c r="C329" s="2" t="s">
        <v>246</v>
      </c>
      <c r="D329" s="2" t="s">
        <v>17</v>
      </c>
    </row>
    <row r="330" spans="1:4" x14ac:dyDescent="0.35">
      <c r="A330" s="2" t="s">
        <v>91</v>
      </c>
      <c r="B330" s="3">
        <v>46246</v>
      </c>
      <c r="C330" s="2" t="s">
        <v>245</v>
      </c>
      <c r="D330" s="2" t="s">
        <v>17</v>
      </c>
    </row>
    <row r="331" spans="1:4" x14ac:dyDescent="0.35">
      <c r="A331" s="2" t="s">
        <v>91</v>
      </c>
      <c r="B331" s="3">
        <v>46281</v>
      </c>
      <c r="C331" s="2" t="s">
        <v>246</v>
      </c>
      <c r="D331" s="2" t="s">
        <v>17</v>
      </c>
    </row>
    <row r="332" spans="1:4" x14ac:dyDescent="0.35">
      <c r="A332" s="2" t="s">
        <v>91</v>
      </c>
      <c r="B332" s="3">
        <v>46206</v>
      </c>
      <c r="C332" s="2" t="s">
        <v>246</v>
      </c>
      <c r="D332" s="2" t="s">
        <v>17</v>
      </c>
    </row>
    <row r="333" spans="1:4" x14ac:dyDescent="0.35">
      <c r="A333" s="2" t="s">
        <v>91</v>
      </c>
      <c r="B333" s="3">
        <v>46245</v>
      </c>
      <c r="C333" s="2" t="s">
        <v>245</v>
      </c>
      <c r="D333" s="2" t="s">
        <v>17</v>
      </c>
    </row>
    <row r="334" spans="1:4" x14ac:dyDescent="0.35">
      <c r="A334" s="2" t="s">
        <v>91</v>
      </c>
      <c r="B334" s="3">
        <v>46282</v>
      </c>
      <c r="C334" s="2" t="s">
        <v>246</v>
      </c>
      <c r="D334" s="2" t="s">
        <v>17</v>
      </c>
    </row>
    <row r="335" spans="1:4" x14ac:dyDescent="0.35">
      <c r="A335" s="2" t="s">
        <v>91</v>
      </c>
      <c r="B335" s="3">
        <v>46225</v>
      </c>
      <c r="C335" s="2" t="s">
        <v>246</v>
      </c>
      <c r="D335" s="2" t="s">
        <v>17</v>
      </c>
    </row>
    <row r="336" spans="1:4" x14ac:dyDescent="0.35">
      <c r="A336" s="2" t="s">
        <v>91</v>
      </c>
      <c r="B336" s="3">
        <v>46258</v>
      </c>
      <c r="C336" s="2" t="s">
        <v>246</v>
      </c>
      <c r="D336" s="2" t="s">
        <v>17</v>
      </c>
    </row>
    <row r="337" spans="1:4" x14ac:dyDescent="0.35">
      <c r="A337" s="2" t="s">
        <v>91</v>
      </c>
      <c r="B337" s="3">
        <v>46223</v>
      </c>
      <c r="C337" s="2" t="s">
        <v>247</v>
      </c>
      <c r="D337" s="2" t="s">
        <v>17</v>
      </c>
    </row>
    <row r="338" spans="1:4" x14ac:dyDescent="0.35">
      <c r="A338" s="2" t="s">
        <v>94</v>
      </c>
      <c r="B338" s="3">
        <v>46279</v>
      </c>
      <c r="C338" s="2" t="s">
        <v>30</v>
      </c>
      <c r="D338" s="2" t="s">
        <v>41</v>
      </c>
    </row>
    <row r="339" spans="1:4" x14ac:dyDescent="0.35">
      <c r="A339" s="2" t="s">
        <v>94</v>
      </c>
      <c r="B339" s="3">
        <v>46289</v>
      </c>
      <c r="C339" s="2" t="s">
        <v>30</v>
      </c>
      <c r="D339" s="2" t="s">
        <v>41</v>
      </c>
    </row>
    <row r="340" spans="1:4" x14ac:dyDescent="0.35">
      <c r="A340" s="2" t="s">
        <v>94</v>
      </c>
      <c r="B340" s="3">
        <v>46211</v>
      </c>
      <c r="C340" s="2" t="s">
        <v>30</v>
      </c>
      <c r="D340" s="2" t="s">
        <v>41</v>
      </c>
    </row>
    <row r="341" spans="1:4" x14ac:dyDescent="0.35">
      <c r="A341" s="2" t="s">
        <v>94</v>
      </c>
      <c r="B341" s="3">
        <v>46230</v>
      </c>
      <c r="C341" s="2" t="s">
        <v>245</v>
      </c>
      <c r="D341" s="2" t="s">
        <v>41</v>
      </c>
    </row>
    <row r="342" spans="1:4" x14ac:dyDescent="0.35">
      <c r="A342" s="2" t="s">
        <v>94</v>
      </c>
      <c r="B342" s="3">
        <v>46239</v>
      </c>
      <c r="C342" s="2" t="s">
        <v>246</v>
      </c>
      <c r="D342" s="2" t="s">
        <v>41</v>
      </c>
    </row>
    <row r="343" spans="1:4" x14ac:dyDescent="0.35">
      <c r="A343" s="2" t="s">
        <v>94</v>
      </c>
      <c r="B343" s="3">
        <v>46245</v>
      </c>
      <c r="C343" s="2" t="s">
        <v>30</v>
      </c>
      <c r="D343" s="2" t="s">
        <v>41</v>
      </c>
    </row>
    <row r="344" spans="1:4" x14ac:dyDescent="0.35">
      <c r="A344" s="2" t="s">
        <v>94</v>
      </c>
      <c r="B344" s="3">
        <v>46233</v>
      </c>
      <c r="C344" s="2" t="s">
        <v>30</v>
      </c>
      <c r="D344" s="2" t="s">
        <v>41</v>
      </c>
    </row>
    <row r="345" spans="1:4" x14ac:dyDescent="0.35">
      <c r="A345" s="2" t="s">
        <v>94</v>
      </c>
      <c r="B345" s="3">
        <v>46288</v>
      </c>
      <c r="C345" s="2" t="s">
        <v>246</v>
      </c>
      <c r="D345" s="2" t="s">
        <v>41</v>
      </c>
    </row>
    <row r="346" spans="1:4" x14ac:dyDescent="0.35">
      <c r="A346" s="2" t="s">
        <v>94</v>
      </c>
      <c r="B346" s="3">
        <v>46248</v>
      </c>
      <c r="C346" s="2" t="s">
        <v>246</v>
      </c>
      <c r="D346" s="2" t="s">
        <v>41</v>
      </c>
    </row>
    <row r="347" spans="1:4" x14ac:dyDescent="0.35">
      <c r="A347" s="2" t="s">
        <v>94</v>
      </c>
      <c r="B347" s="3">
        <v>46244</v>
      </c>
      <c r="C347" s="2" t="s">
        <v>30</v>
      </c>
      <c r="D347" s="2" t="s">
        <v>41</v>
      </c>
    </row>
    <row r="348" spans="1:4" x14ac:dyDescent="0.35">
      <c r="A348" s="2" t="s">
        <v>94</v>
      </c>
      <c r="B348" s="3">
        <v>46212</v>
      </c>
      <c r="C348" s="2" t="s">
        <v>245</v>
      </c>
      <c r="D348" s="2" t="s">
        <v>41</v>
      </c>
    </row>
    <row r="349" spans="1:4" x14ac:dyDescent="0.35">
      <c r="A349" s="2" t="s">
        <v>94</v>
      </c>
      <c r="B349" s="3">
        <v>46251</v>
      </c>
      <c r="C349" s="2" t="s">
        <v>247</v>
      </c>
      <c r="D349" s="2" t="s">
        <v>41</v>
      </c>
    </row>
    <row r="350" spans="1:4" x14ac:dyDescent="0.35">
      <c r="A350" s="2" t="s">
        <v>96</v>
      </c>
      <c r="B350" s="3">
        <v>46286</v>
      </c>
      <c r="C350" s="2" t="s">
        <v>246</v>
      </c>
      <c r="D350" s="2" t="s">
        <v>22</v>
      </c>
    </row>
    <row r="351" spans="1:4" x14ac:dyDescent="0.35">
      <c r="A351" s="2" t="s">
        <v>96</v>
      </c>
      <c r="B351" s="3">
        <v>46252</v>
      </c>
      <c r="C351" s="2" t="s">
        <v>246</v>
      </c>
      <c r="D351" s="2" t="s">
        <v>22</v>
      </c>
    </row>
    <row r="352" spans="1:4" x14ac:dyDescent="0.35">
      <c r="A352" s="2" t="s">
        <v>96</v>
      </c>
      <c r="B352" s="3">
        <v>46282</v>
      </c>
      <c r="C352" s="2" t="s">
        <v>30</v>
      </c>
      <c r="D352" s="2" t="s">
        <v>22</v>
      </c>
    </row>
    <row r="353" spans="1:4" x14ac:dyDescent="0.35">
      <c r="A353" s="2" t="s">
        <v>96</v>
      </c>
      <c r="B353" s="3">
        <v>46281</v>
      </c>
      <c r="C353" s="2" t="s">
        <v>246</v>
      </c>
      <c r="D353" s="2" t="s">
        <v>22</v>
      </c>
    </row>
    <row r="354" spans="1:4" x14ac:dyDescent="0.35">
      <c r="A354" s="2" t="s">
        <v>96</v>
      </c>
      <c r="B354" s="3">
        <v>46279</v>
      </c>
      <c r="C354" s="2" t="s">
        <v>247</v>
      </c>
      <c r="D354" s="2" t="s">
        <v>22</v>
      </c>
    </row>
    <row r="355" spans="1:4" x14ac:dyDescent="0.35">
      <c r="A355" s="2" t="s">
        <v>96</v>
      </c>
      <c r="B355" s="3">
        <v>46226</v>
      </c>
      <c r="C355" s="2" t="s">
        <v>246</v>
      </c>
      <c r="D355" s="2" t="s">
        <v>22</v>
      </c>
    </row>
    <row r="356" spans="1:4" x14ac:dyDescent="0.35">
      <c r="A356" s="2" t="s">
        <v>96</v>
      </c>
      <c r="B356" s="3">
        <v>46283</v>
      </c>
      <c r="C356" s="2" t="s">
        <v>245</v>
      </c>
      <c r="D356" s="2" t="s">
        <v>22</v>
      </c>
    </row>
    <row r="357" spans="1:4" x14ac:dyDescent="0.35">
      <c r="A357" s="2" t="s">
        <v>96</v>
      </c>
      <c r="B357" s="3">
        <v>46287</v>
      </c>
      <c r="C357" s="2" t="s">
        <v>247</v>
      </c>
      <c r="D357" s="2" t="s">
        <v>22</v>
      </c>
    </row>
    <row r="358" spans="1:4" x14ac:dyDescent="0.35">
      <c r="A358" s="2" t="s">
        <v>96</v>
      </c>
      <c r="B358" s="3">
        <v>46269</v>
      </c>
      <c r="C358" s="2" t="s">
        <v>245</v>
      </c>
      <c r="D358" s="2" t="s">
        <v>22</v>
      </c>
    </row>
    <row r="359" spans="1:4" x14ac:dyDescent="0.35">
      <c r="A359" s="2" t="s">
        <v>96</v>
      </c>
      <c r="B359" s="3">
        <v>46266</v>
      </c>
      <c r="C359" s="2" t="s">
        <v>245</v>
      </c>
      <c r="D359" s="2" t="s">
        <v>22</v>
      </c>
    </row>
    <row r="360" spans="1:4" x14ac:dyDescent="0.35">
      <c r="A360" s="2" t="s">
        <v>96</v>
      </c>
      <c r="B360" s="3">
        <v>46219</v>
      </c>
      <c r="C360" s="2" t="s">
        <v>246</v>
      </c>
      <c r="D360" s="2" t="s">
        <v>22</v>
      </c>
    </row>
    <row r="361" spans="1:4" x14ac:dyDescent="0.35">
      <c r="A361" s="2" t="s">
        <v>96</v>
      </c>
      <c r="B361" s="3">
        <v>46227</v>
      </c>
      <c r="C361" s="2" t="s">
        <v>30</v>
      </c>
      <c r="D361" s="2" t="s">
        <v>22</v>
      </c>
    </row>
    <row r="362" spans="1:4" x14ac:dyDescent="0.35">
      <c r="A362" s="2" t="s">
        <v>98</v>
      </c>
      <c r="B362" s="3">
        <v>46205</v>
      </c>
      <c r="C362" s="2" t="s">
        <v>246</v>
      </c>
      <c r="D362" s="2" t="s">
        <v>33</v>
      </c>
    </row>
    <row r="363" spans="1:4" x14ac:dyDescent="0.35">
      <c r="A363" s="2" t="s">
        <v>98</v>
      </c>
      <c r="B363" s="3">
        <v>46248</v>
      </c>
      <c r="C363" s="2" t="s">
        <v>247</v>
      </c>
      <c r="D363" s="2" t="s">
        <v>33</v>
      </c>
    </row>
    <row r="364" spans="1:4" x14ac:dyDescent="0.35">
      <c r="A364" s="2" t="s">
        <v>98</v>
      </c>
      <c r="B364" s="3">
        <v>46210</v>
      </c>
      <c r="C364" s="2" t="s">
        <v>246</v>
      </c>
      <c r="D364" s="2" t="s">
        <v>33</v>
      </c>
    </row>
    <row r="365" spans="1:4" x14ac:dyDescent="0.35">
      <c r="A365" s="2" t="s">
        <v>98</v>
      </c>
      <c r="B365" s="3">
        <v>46283</v>
      </c>
      <c r="C365" s="2" t="s">
        <v>245</v>
      </c>
      <c r="D365" s="2" t="s">
        <v>33</v>
      </c>
    </row>
    <row r="366" spans="1:4" x14ac:dyDescent="0.35">
      <c r="A366" s="2" t="s">
        <v>98</v>
      </c>
      <c r="B366" s="3">
        <v>46213</v>
      </c>
      <c r="C366" s="2" t="s">
        <v>247</v>
      </c>
      <c r="D366" s="2" t="s">
        <v>33</v>
      </c>
    </row>
    <row r="367" spans="1:4" x14ac:dyDescent="0.35">
      <c r="A367" s="2" t="s">
        <v>98</v>
      </c>
      <c r="B367" s="3">
        <v>46268</v>
      </c>
      <c r="C367" s="2" t="s">
        <v>246</v>
      </c>
      <c r="D367" s="2" t="s">
        <v>33</v>
      </c>
    </row>
    <row r="368" spans="1:4" x14ac:dyDescent="0.35">
      <c r="A368" s="2" t="s">
        <v>98</v>
      </c>
      <c r="B368" s="3">
        <v>46274</v>
      </c>
      <c r="C368" s="2" t="s">
        <v>246</v>
      </c>
      <c r="D368" s="2" t="s">
        <v>33</v>
      </c>
    </row>
    <row r="369" spans="1:4" x14ac:dyDescent="0.35">
      <c r="A369" s="2" t="s">
        <v>98</v>
      </c>
      <c r="B369" s="3">
        <v>46238</v>
      </c>
      <c r="C369" s="2" t="s">
        <v>246</v>
      </c>
      <c r="D369" s="2" t="s">
        <v>33</v>
      </c>
    </row>
    <row r="370" spans="1:4" x14ac:dyDescent="0.35">
      <c r="A370" s="2" t="s">
        <v>98</v>
      </c>
      <c r="B370" s="3">
        <v>46260</v>
      </c>
      <c r="C370" s="2" t="s">
        <v>247</v>
      </c>
      <c r="D370" s="2" t="s">
        <v>33</v>
      </c>
    </row>
    <row r="371" spans="1:4" x14ac:dyDescent="0.35">
      <c r="A371" s="2" t="s">
        <v>98</v>
      </c>
      <c r="B371" s="3">
        <v>46234</v>
      </c>
      <c r="C371" s="2" t="s">
        <v>246</v>
      </c>
      <c r="D371" s="2" t="s">
        <v>33</v>
      </c>
    </row>
    <row r="372" spans="1:4" x14ac:dyDescent="0.35">
      <c r="A372" s="2" t="s">
        <v>98</v>
      </c>
      <c r="B372" s="3">
        <v>46269</v>
      </c>
      <c r="C372" s="2" t="s">
        <v>246</v>
      </c>
      <c r="D372" s="2" t="s">
        <v>33</v>
      </c>
    </row>
    <row r="373" spans="1:4" x14ac:dyDescent="0.35">
      <c r="A373" s="2" t="s">
        <v>98</v>
      </c>
      <c r="B373" s="3">
        <v>46276</v>
      </c>
      <c r="C373" s="2" t="s">
        <v>30</v>
      </c>
      <c r="D373" s="2" t="s">
        <v>33</v>
      </c>
    </row>
    <row r="374" spans="1:4" x14ac:dyDescent="0.35">
      <c r="A374" s="2" t="s">
        <v>101</v>
      </c>
      <c r="B374" s="3">
        <v>46224</v>
      </c>
      <c r="C374" s="2" t="s">
        <v>246</v>
      </c>
      <c r="D374" s="2" t="s">
        <v>22</v>
      </c>
    </row>
    <row r="375" spans="1:4" x14ac:dyDescent="0.35">
      <c r="A375" s="2" t="s">
        <v>101</v>
      </c>
      <c r="B375" s="3">
        <v>46227</v>
      </c>
      <c r="C375" s="2" t="s">
        <v>246</v>
      </c>
      <c r="D375" s="2" t="s">
        <v>22</v>
      </c>
    </row>
    <row r="376" spans="1:4" x14ac:dyDescent="0.35">
      <c r="A376" s="2" t="s">
        <v>101</v>
      </c>
      <c r="B376" s="3">
        <v>46240</v>
      </c>
      <c r="C376" s="2" t="s">
        <v>245</v>
      </c>
      <c r="D376" s="2" t="s">
        <v>22</v>
      </c>
    </row>
    <row r="377" spans="1:4" x14ac:dyDescent="0.35">
      <c r="A377" s="2" t="s">
        <v>101</v>
      </c>
      <c r="B377" s="3">
        <v>46280</v>
      </c>
      <c r="C377" s="2" t="s">
        <v>247</v>
      </c>
      <c r="D377" s="2" t="s">
        <v>22</v>
      </c>
    </row>
    <row r="378" spans="1:4" x14ac:dyDescent="0.35">
      <c r="A378" s="2" t="s">
        <v>101</v>
      </c>
      <c r="B378" s="3">
        <v>46265</v>
      </c>
      <c r="C378" s="2" t="s">
        <v>246</v>
      </c>
      <c r="D378" s="2" t="s">
        <v>22</v>
      </c>
    </row>
    <row r="379" spans="1:4" x14ac:dyDescent="0.35">
      <c r="A379" s="2" t="s">
        <v>101</v>
      </c>
      <c r="B379" s="3">
        <v>46289</v>
      </c>
      <c r="C379" s="2" t="s">
        <v>246</v>
      </c>
      <c r="D379" s="2" t="s">
        <v>22</v>
      </c>
    </row>
    <row r="380" spans="1:4" x14ac:dyDescent="0.35">
      <c r="A380" s="2" t="s">
        <v>101</v>
      </c>
      <c r="B380" s="3">
        <v>46226</v>
      </c>
      <c r="C380" s="2" t="s">
        <v>245</v>
      </c>
      <c r="D380" s="2" t="s">
        <v>22</v>
      </c>
    </row>
    <row r="381" spans="1:4" x14ac:dyDescent="0.35">
      <c r="A381" s="2" t="s">
        <v>101</v>
      </c>
      <c r="B381" s="3">
        <v>46275</v>
      </c>
      <c r="C381" s="2" t="s">
        <v>30</v>
      </c>
      <c r="D381" s="2" t="s">
        <v>22</v>
      </c>
    </row>
    <row r="382" spans="1:4" x14ac:dyDescent="0.35">
      <c r="A382" s="2" t="s">
        <v>101</v>
      </c>
      <c r="B382" s="3">
        <v>46266</v>
      </c>
      <c r="C382" s="2" t="s">
        <v>246</v>
      </c>
      <c r="D382" s="2" t="s">
        <v>22</v>
      </c>
    </row>
    <row r="383" spans="1:4" x14ac:dyDescent="0.35">
      <c r="A383" s="2" t="s">
        <v>101</v>
      </c>
      <c r="B383" s="3">
        <v>46205</v>
      </c>
      <c r="C383" s="2" t="s">
        <v>247</v>
      </c>
      <c r="D383" s="2" t="s">
        <v>22</v>
      </c>
    </row>
    <row r="384" spans="1:4" x14ac:dyDescent="0.35">
      <c r="A384" s="2" t="s">
        <v>101</v>
      </c>
      <c r="B384" s="3">
        <v>46248</v>
      </c>
      <c r="C384" s="2" t="s">
        <v>246</v>
      </c>
      <c r="D384" s="2" t="s">
        <v>22</v>
      </c>
    </row>
    <row r="385" spans="1:4" x14ac:dyDescent="0.35">
      <c r="A385" s="2" t="s">
        <v>101</v>
      </c>
      <c r="B385" s="3">
        <v>46218</v>
      </c>
      <c r="C385" s="2" t="s">
        <v>247</v>
      </c>
      <c r="D385" s="2" t="s">
        <v>22</v>
      </c>
    </row>
    <row r="386" spans="1:4" x14ac:dyDescent="0.35">
      <c r="A386" s="2" t="s">
        <v>103</v>
      </c>
      <c r="B386" s="3">
        <v>46223</v>
      </c>
      <c r="C386" s="2" t="s">
        <v>247</v>
      </c>
      <c r="D386" s="2" t="s">
        <v>11</v>
      </c>
    </row>
    <row r="387" spans="1:4" x14ac:dyDescent="0.35">
      <c r="A387" s="2" t="s">
        <v>103</v>
      </c>
      <c r="B387" s="3">
        <v>46220</v>
      </c>
      <c r="C387" s="2" t="s">
        <v>30</v>
      </c>
      <c r="D387" s="2" t="s">
        <v>11</v>
      </c>
    </row>
    <row r="388" spans="1:4" x14ac:dyDescent="0.35">
      <c r="A388" s="2" t="s">
        <v>103</v>
      </c>
      <c r="B388" s="3">
        <v>46288</v>
      </c>
      <c r="C388" s="2" t="s">
        <v>245</v>
      </c>
      <c r="D388" s="2" t="s">
        <v>11</v>
      </c>
    </row>
    <row r="389" spans="1:4" x14ac:dyDescent="0.35">
      <c r="A389" s="2" t="s">
        <v>103</v>
      </c>
      <c r="B389" s="3">
        <v>46244</v>
      </c>
      <c r="C389" s="2" t="s">
        <v>245</v>
      </c>
      <c r="D389" s="2" t="s">
        <v>11</v>
      </c>
    </row>
    <row r="390" spans="1:4" x14ac:dyDescent="0.35">
      <c r="A390" s="2" t="s">
        <v>103</v>
      </c>
      <c r="B390" s="3">
        <v>46216</v>
      </c>
      <c r="C390" s="2" t="s">
        <v>30</v>
      </c>
      <c r="D390" s="2" t="s">
        <v>11</v>
      </c>
    </row>
    <row r="391" spans="1:4" x14ac:dyDescent="0.35">
      <c r="A391" s="2" t="s">
        <v>103</v>
      </c>
      <c r="B391" s="3">
        <v>46267</v>
      </c>
      <c r="C391" s="2" t="s">
        <v>246</v>
      </c>
      <c r="D391" s="2" t="s">
        <v>11</v>
      </c>
    </row>
    <row r="392" spans="1:4" x14ac:dyDescent="0.35">
      <c r="A392" s="2" t="s">
        <v>103</v>
      </c>
      <c r="B392" s="3">
        <v>46275</v>
      </c>
      <c r="C392" s="2" t="s">
        <v>247</v>
      </c>
      <c r="D392" s="2" t="s">
        <v>11</v>
      </c>
    </row>
    <row r="393" spans="1:4" x14ac:dyDescent="0.35">
      <c r="A393" s="2" t="s">
        <v>103</v>
      </c>
      <c r="B393" s="3">
        <v>46246</v>
      </c>
      <c r="C393" s="2" t="s">
        <v>246</v>
      </c>
      <c r="D393" s="2" t="s">
        <v>11</v>
      </c>
    </row>
    <row r="394" spans="1:4" x14ac:dyDescent="0.35">
      <c r="A394" s="2" t="s">
        <v>103</v>
      </c>
      <c r="B394" s="3">
        <v>46231</v>
      </c>
      <c r="C394" s="2" t="s">
        <v>246</v>
      </c>
      <c r="D394" s="2" t="s">
        <v>11</v>
      </c>
    </row>
    <row r="395" spans="1:4" x14ac:dyDescent="0.35">
      <c r="A395" s="2" t="s">
        <v>103</v>
      </c>
      <c r="B395" s="3">
        <v>46252</v>
      </c>
      <c r="C395" s="2" t="s">
        <v>245</v>
      </c>
      <c r="D395" s="2" t="s">
        <v>11</v>
      </c>
    </row>
    <row r="396" spans="1:4" x14ac:dyDescent="0.35">
      <c r="A396" s="2" t="s">
        <v>103</v>
      </c>
      <c r="B396" s="3">
        <v>46227</v>
      </c>
      <c r="C396" s="2" t="s">
        <v>246</v>
      </c>
      <c r="D396" s="2" t="s">
        <v>11</v>
      </c>
    </row>
    <row r="397" spans="1:4" x14ac:dyDescent="0.35">
      <c r="A397" s="2" t="s">
        <v>103</v>
      </c>
      <c r="B397" s="3">
        <v>46295</v>
      </c>
      <c r="C397" s="2" t="s">
        <v>246</v>
      </c>
      <c r="D397" s="2" t="s">
        <v>11</v>
      </c>
    </row>
    <row r="398" spans="1:4" x14ac:dyDescent="0.35">
      <c r="A398" s="2" t="s">
        <v>105</v>
      </c>
      <c r="B398" s="3">
        <v>46244</v>
      </c>
      <c r="C398" s="2" t="s">
        <v>246</v>
      </c>
      <c r="D398" s="2" t="s">
        <v>17</v>
      </c>
    </row>
    <row r="399" spans="1:4" x14ac:dyDescent="0.35">
      <c r="A399" s="2" t="s">
        <v>105</v>
      </c>
      <c r="B399" s="3">
        <v>46287</v>
      </c>
      <c r="C399" s="2" t="s">
        <v>247</v>
      </c>
      <c r="D399" s="2" t="s">
        <v>17</v>
      </c>
    </row>
    <row r="400" spans="1:4" x14ac:dyDescent="0.35">
      <c r="A400" s="2" t="s">
        <v>105</v>
      </c>
      <c r="B400" s="3">
        <v>46239</v>
      </c>
      <c r="C400" s="2" t="s">
        <v>247</v>
      </c>
      <c r="D400" s="2" t="s">
        <v>17</v>
      </c>
    </row>
    <row r="401" spans="1:4" x14ac:dyDescent="0.35">
      <c r="A401" s="2" t="s">
        <v>105</v>
      </c>
      <c r="B401" s="3">
        <v>46245</v>
      </c>
      <c r="C401" s="2" t="s">
        <v>247</v>
      </c>
      <c r="D401" s="2" t="s">
        <v>17</v>
      </c>
    </row>
    <row r="402" spans="1:4" x14ac:dyDescent="0.35">
      <c r="A402" s="2" t="s">
        <v>105</v>
      </c>
      <c r="B402" s="3">
        <v>46259</v>
      </c>
      <c r="C402" s="2" t="s">
        <v>30</v>
      </c>
      <c r="D402" s="2" t="s">
        <v>17</v>
      </c>
    </row>
    <row r="403" spans="1:4" x14ac:dyDescent="0.35">
      <c r="A403" s="2" t="s">
        <v>105</v>
      </c>
      <c r="B403" s="3">
        <v>46293</v>
      </c>
      <c r="C403" s="2" t="s">
        <v>247</v>
      </c>
      <c r="D403" s="2" t="s">
        <v>17</v>
      </c>
    </row>
    <row r="404" spans="1:4" x14ac:dyDescent="0.35">
      <c r="A404" s="2" t="s">
        <v>105</v>
      </c>
      <c r="B404" s="3">
        <v>46269</v>
      </c>
      <c r="C404" s="2" t="s">
        <v>246</v>
      </c>
      <c r="D404" s="2" t="s">
        <v>17</v>
      </c>
    </row>
    <row r="405" spans="1:4" x14ac:dyDescent="0.35">
      <c r="A405" s="2" t="s">
        <v>105</v>
      </c>
      <c r="B405" s="3">
        <v>46283</v>
      </c>
      <c r="C405" s="2" t="s">
        <v>245</v>
      </c>
      <c r="D405" s="2" t="s">
        <v>17</v>
      </c>
    </row>
    <row r="406" spans="1:4" x14ac:dyDescent="0.35">
      <c r="A406" s="2" t="s">
        <v>105</v>
      </c>
      <c r="B406" s="3">
        <v>46274</v>
      </c>
      <c r="C406" s="2" t="s">
        <v>245</v>
      </c>
      <c r="D406" s="2" t="s">
        <v>17</v>
      </c>
    </row>
    <row r="407" spans="1:4" x14ac:dyDescent="0.35">
      <c r="A407" s="2" t="s">
        <v>105</v>
      </c>
      <c r="B407" s="3">
        <v>46223</v>
      </c>
      <c r="C407" s="2" t="s">
        <v>30</v>
      </c>
      <c r="D407" s="2" t="s">
        <v>17</v>
      </c>
    </row>
    <row r="408" spans="1:4" x14ac:dyDescent="0.35">
      <c r="A408" s="2" t="s">
        <v>105</v>
      </c>
      <c r="B408" s="3">
        <v>46255</v>
      </c>
      <c r="C408" s="2" t="s">
        <v>246</v>
      </c>
      <c r="D408" s="2" t="s">
        <v>17</v>
      </c>
    </row>
    <row r="409" spans="1:4" x14ac:dyDescent="0.35">
      <c r="A409" s="2" t="s">
        <v>105</v>
      </c>
      <c r="B409" s="3">
        <v>46209</v>
      </c>
      <c r="C409" s="2" t="s">
        <v>246</v>
      </c>
      <c r="D409" s="2" t="s">
        <v>17</v>
      </c>
    </row>
    <row r="410" spans="1:4" x14ac:dyDescent="0.35">
      <c r="A410" s="2" t="s">
        <v>107</v>
      </c>
      <c r="B410" s="3">
        <v>46212</v>
      </c>
      <c r="C410" s="2" t="s">
        <v>246</v>
      </c>
      <c r="D410" s="2" t="s">
        <v>41</v>
      </c>
    </row>
    <row r="411" spans="1:4" x14ac:dyDescent="0.35">
      <c r="A411" s="2" t="s">
        <v>107</v>
      </c>
      <c r="B411" s="3">
        <v>46213</v>
      </c>
      <c r="C411" s="2" t="s">
        <v>245</v>
      </c>
      <c r="D411" s="2" t="s">
        <v>41</v>
      </c>
    </row>
    <row r="412" spans="1:4" x14ac:dyDescent="0.35">
      <c r="A412" s="2" t="s">
        <v>107</v>
      </c>
      <c r="B412" s="3">
        <v>46247</v>
      </c>
      <c r="C412" s="2" t="s">
        <v>246</v>
      </c>
      <c r="D412" s="2" t="s">
        <v>41</v>
      </c>
    </row>
    <row r="413" spans="1:4" x14ac:dyDescent="0.35">
      <c r="A413" s="2" t="s">
        <v>107</v>
      </c>
      <c r="B413" s="3">
        <v>46272</v>
      </c>
      <c r="C413" s="2" t="s">
        <v>246</v>
      </c>
      <c r="D413" s="2" t="s">
        <v>41</v>
      </c>
    </row>
    <row r="414" spans="1:4" x14ac:dyDescent="0.35">
      <c r="A414" s="2" t="s">
        <v>107</v>
      </c>
      <c r="B414" s="3">
        <v>46220</v>
      </c>
      <c r="C414" s="2" t="s">
        <v>30</v>
      </c>
      <c r="D414" s="2" t="s">
        <v>41</v>
      </c>
    </row>
    <row r="415" spans="1:4" x14ac:dyDescent="0.35">
      <c r="A415" s="2" t="s">
        <v>107</v>
      </c>
      <c r="B415" s="3">
        <v>46217</v>
      </c>
      <c r="C415" s="2" t="s">
        <v>247</v>
      </c>
      <c r="D415" s="2" t="s">
        <v>41</v>
      </c>
    </row>
    <row r="416" spans="1:4" x14ac:dyDescent="0.35">
      <c r="A416" s="2" t="s">
        <v>107</v>
      </c>
      <c r="B416" s="3">
        <v>46234</v>
      </c>
      <c r="C416" s="2" t="s">
        <v>246</v>
      </c>
      <c r="D416" s="2" t="s">
        <v>41</v>
      </c>
    </row>
    <row r="417" spans="1:4" x14ac:dyDescent="0.35">
      <c r="A417" s="2" t="s">
        <v>107</v>
      </c>
      <c r="B417" s="3">
        <v>46246</v>
      </c>
      <c r="C417" s="2" t="s">
        <v>246</v>
      </c>
      <c r="D417" s="2" t="s">
        <v>41</v>
      </c>
    </row>
    <row r="418" spans="1:4" x14ac:dyDescent="0.35">
      <c r="A418" s="2" t="s">
        <v>107</v>
      </c>
      <c r="B418" s="3">
        <v>46288</v>
      </c>
      <c r="C418" s="2" t="s">
        <v>247</v>
      </c>
      <c r="D418" s="2" t="s">
        <v>41</v>
      </c>
    </row>
    <row r="419" spans="1:4" x14ac:dyDescent="0.35">
      <c r="A419" s="2" t="s">
        <v>107</v>
      </c>
      <c r="B419" s="3">
        <v>46289</v>
      </c>
      <c r="C419" s="2" t="s">
        <v>247</v>
      </c>
      <c r="D419" s="2" t="s">
        <v>41</v>
      </c>
    </row>
    <row r="420" spans="1:4" x14ac:dyDescent="0.35">
      <c r="A420" s="2" t="s">
        <v>107</v>
      </c>
      <c r="B420" s="3">
        <v>46279</v>
      </c>
      <c r="C420" s="2" t="s">
        <v>30</v>
      </c>
      <c r="D420" s="2" t="s">
        <v>41</v>
      </c>
    </row>
    <row r="421" spans="1:4" x14ac:dyDescent="0.35">
      <c r="A421" s="2" t="s">
        <v>107</v>
      </c>
      <c r="B421" s="3">
        <v>46295</v>
      </c>
      <c r="C421" s="2" t="s">
        <v>245</v>
      </c>
      <c r="D421" s="2" t="s">
        <v>41</v>
      </c>
    </row>
    <row r="422" spans="1:4" x14ac:dyDescent="0.35">
      <c r="A422" s="2" t="s">
        <v>109</v>
      </c>
      <c r="B422" s="3">
        <v>46247</v>
      </c>
      <c r="C422" s="2" t="s">
        <v>30</v>
      </c>
      <c r="D422" s="2" t="s">
        <v>33</v>
      </c>
    </row>
    <row r="423" spans="1:4" x14ac:dyDescent="0.35">
      <c r="A423" s="2" t="s">
        <v>109</v>
      </c>
      <c r="B423" s="3">
        <v>46205</v>
      </c>
      <c r="C423" s="2" t="s">
        <v>246</v>
      </c>
      <c r="D423" s="2" t="s">
        <v>33</v>
      </c>
    </row>
    <row r="424" spans="1:4" x14ac:dyDescent="0.35">
      <c r="A424" s="2" t="s">
        <v>109</v>
      </c>
      <c r="B424" s="3">
        <v>46218</v>
      </c>
      <c r="C424" s="2" t="s">
        <v>245</v>
      </c>
      <c r="D424" s="2" t="s">
        <v>33</v>
      </c>
    </row>
    <row r="425" spans="1:4" x14ac:dyDescent="0.35">
      <c r="A425" s="2" t="s">
        <v>109</v>
      </c>
      <c r="B425" s="3">
        <v>46219</v>
      </c>
      <c r="C425" s="2" t="s">
        <v>246</v>
      </c>
      <c r="D425" s="2" t="s">
        <v>33</v>
      </c>
    </row>
    <row r="426" spans="1:4" x14ac:dyDescent="0.35">
      <c r="A426" s="2" t="s">
        <v>109</v>
      </c>
      <c r="B426" s="3">
        <v>46254</v>
      </c>
      <c r="C426" s="2" t="s">
        <v>245</v>
      </c>
      <c r="D426" s="2" t="s">
        <v>33</v>
      </c>
    </row>
    <row r="427" spans="1:4" x14ac:dyDescent="0.35">
      <c r="A427" s="2" t="s">
        <v>109</v>
      </c>
      <c r="B427" s="3">
        <v>46210</v>
      </c>
      <c r="C427" s="2" t="s">
        <v>245</v>
      </c>
      <c r="D427" s="2" t="s">
        <v>33</v>
      </c>
    </row>
    <row r="428" spans="1:4" x14ac:dyDescent="0.35">
      <c r="A428" s="2" t="s">
        <v>109</v>
      </c>
      <c r="B428" s="3">
        <v>46281</v>
      </c>
      <c r="C428" s="2" t="s">
        <v>246</v>
      </c>
      <c r="D428" s="2" t="s">
        <v>33</v>
      </c>
    </row>
    <row r="429" spans="1:4" x14ac:dyDescent="0.35">
      <c r="A429" s="2" t="s">
        <v>109</v>
      </c>
      <c r="B429" s="3">
        <v>46283</v>
      </c>
      <c r="C429" s="2" t="s">
        <v>246</v>
      </c>
      <c r="D429" s="2" t="s">
        <v>33</v>
      </c>
    </row>
    <row r="430" spans="1:4" x14ac:dyDescent="0.35">
      <c r="A430" s="2" t="s">
        <v>109</v>
      </c>
      <c r="B430" s="3">
        <v>46275</v>
      </c>
      <c r="C430" s="2" t="s">
        <v>247</v>
      </c>
      <c r="D430" s="2" t="s">
        <v>33</v>
      </c>
    </row>
    <row r="431" spans="1:4" x14ac:dyDescent="0.35">
      <c r="A431" s="2" t="s">
        <v>109</v>
      </c>
      <c r="B431" s="3">
        <v>46294</v>
      </c>
      <c r="C431" s="2" t="s">
        <v>30</v>
      </c>
      <c r="D431" s="2" t="s">
        <v>33</v>
      </c>
    </row>
    <row r="432" spans="1:4" x14ac:dyDescent="0.35">
      <c r="A432" s="2" t="s">
        <v>109</v>
      </c>
      <c r="B432" s="3">
        <v>46225</v>
      </c>
      <c r="C432" s="2" t="s">
        <v>30</v>
      </c>
      <c r="D432" s="2" t="s">
        <v>33</v>
      </c>
    </row>
    <row r="433" spans="1:4" x14ac:dyDescent="0.35">
      <c r="A433" s="2" t="s">
        <v>109</v>
      </c>
      <c r="B433" s="3">
        <v>46232</v>
      </c>
      <c r="C433" s="2" t="s">
        <v>246</v>
      </c>
      <c r="D433" s="2" t="s">
        <v>33</v>
      </c>
    </row>
    <row r="434" spans="1:4" x14ac:dyDescent="0.35">
      <c r="A434" s="2" t="s">
        <v>111</v>
      </c>
      <c r="B434" s="3">
        <v>46255</v>
      </c>
      <c r="C434" s="2" t="s">
        <v>30</v>
      </c>
      <c r="D434" s="2" t="s">
        <v>22</v>
      </c>
    </row>
    <row r="435" spans="1:4" x14ac:dyDescent="0.35">
      <c r="A435" s="2" t="s">
        <v>111</v>
      </c>
      <c r="B435" s="3">
        <v>46260</v>
      </c>
      <c r="C435" s="2" t="s">
        <v>30</v>
      </c>
      <c r="D435" s="2" t="s">
        <v>22</v>
      </c>
    </row>
    <row r="436" spans="1:4" x14ac:dyDescent="0.35">
      <c r="A436" s="2" t="s">
        <v>111</v>
      </c>
      <c r="B436" s="3">
        <v>46217</v>
      </c>
      <c r="C436" s="2" t="s">
        <v>246</v>
      </c>
      <c r="D436" s="2" t="s">
        <v>22</v>
      </c>
    </row>
    <row r="437" spans="1:4" x14ac:dyDescent="0.35">
      <c r="A437" s="2" t="s">
        <v>111</v>
      </c>
      <c r="B437" s="3">
        <v>46275</v>
      </c>
      <c r="C437" s="2" t="s">
        <v>246</v>
      </c>
      <c r="D437" s="2" t="s">
        <v>22</v>
      </c>
    </row>
    <row r="438" spans="1:4" x14ac:dyDescent="0.35">
      <c r="A438" s="2" t="s">
        <v>111</v>
      </c>
      <c r="B438" s="3">
        <v>46290</v>
      </c>
      <c r="C438" s="2" t="s">
        <v>246</v>
      </c>
      <c r="D438" s="2" t="s">
        <v>22</v>
      </c>
    </row>
    <row r="439" spans="1:4" x14ac:dyDescent="0.35">
      <c r="A439" s="2" t="s">
        <v>111</v>
      </c>
      <c r="B439" s="3">
        <v>46282</v>
      </c>
      <c r="C439" s="2" t="s">
        <v>247</v>
      </c>
      <c r="D439" s="2" t="s">
        <v>22</v>
      </c>
    </row>
    <row r="440" spans="1:4" x14ac:dyDescent="0.35">
      <c r="A440" s="2" t="s">
        <v>111</v>
      </c>
      <c r="B440" s="3">
        <v>46293</v>
      </c>
      <c r="C440" s="2" t="s">
        <v>245</v>
      </c>
      <c r="D440" s="2" t="s">
        <v>22</v>
      </c>
    </row>
    <row r="441" spans="1:4" x14ac:dyDescent="0.35">
      <c r="A441" s="2" t="s">
        <v>111</v>
      </c>
      <c r="B441" s="3">
        <v>46258</v>
      </c>
      <c r="C441" s="2" t="s">
        <v>30</v>
      </c>
      <c r="D441" s="2" t="s">
        <v>22</v>
      </c>
    </row>
    <row r="442" spans="1:4" x14ac:dyDescent="0.35">
      <c r="A442" s="2" t="s">
        <v>111</v>
      </c>
      <c r="B442" s="3">
        <v>46205</v>
      </c>
      <c r="C442" s="2" t="s">
        <v>246</v>
      </c>
      <c r="D442" s="2" t="s">
        <v>22</v>
      </c>
    </row>
    <row r="443" spans="1:4" x14ac:dyDescent="0.35">
      <c r="A443" s="2" t="s">
        <v>111</v>
      </c>
      <c r="B443" s="3">
        <v>46220</v>
      </c>
      <c r="C443" s="2" t="s">
        <v>246</v>
      </c>
      <c r="D443" s="2" t="s">
        <v>22</v>
      </c>
    </row>
    <row r="444" spans="1:4" x14ac:dyDescent="0.35">
      <c r="A444" s="2" t="s">
        <v>111</v>
      </c>
      <c r="B444" s="3">
        <v>46274</v>
      </c>
      <c r="C444" s="2" t="s">
        <v>246</v>
      </c>
      <c r="D444" s="2" t="s">
        <v>22</v>
      </c>
    </row>
    <row r="445" spans="1:4" x14ac:dyDescent="0.35">
      <c r="A445" s="2" t="s">
        <v>111</v>
      </c>
      <c r="B445" s="3">
        <v>46287</v>
      </c>
      <c r="C445" s="2" t="s">
        <v>245</v>
      </c>
      <c r="D445" s="2" t="s">
        <v>22</v>
      </c>
    </row>
    <row r="446" spans="1:4" x14ac:dyDescent="0.35">
      <c r="A446" s="2" t="s">
        <v>113</v>
      </c>
      <c r="B446" s="3">
        <v>46205</v>
      </c>
      <c r="C446" s="2" t="s">
        <v>245</v>
      </c>
      <c r="D446" s="2" t="s">
        <v>37</v>
      </c>
    </row>
    <row r="447" spans="1:4" x14ac:dyDescent="0.35">
      <c r="A447" s="2" t="s">
        <v>113</v>
      </c>
      <c r="B447" s="3">
        <v>46287</v>
      </c>
      <c r="C447" s="2" t="s">
        <v>246</v>
      </c>
      <c r="D447" s="2" t="s">
        <v>37</v>
      </c>
    </row>
    <row r="448" spans="1:4" x14ac:dyDescent="0.35">
      <c r="A448" s="2" t="s">
        <v>113</v>
      </c>
      <c r="B448" s="3">
        <v>46209</v>
      </c>
      <c r="C448" s="2" t="s">
        <v>246</v>
      </c>
      <c r="D448" s="2" t="s">
        <v>37</v>
      </c>
    </row>
    <row r="449" spans="1:4" x14ac:dyDescent="0.35">
      <c r="A449" s="2" t="s">
        <v>113</v>
      </c>
      <c r="B449" s="3">
        <v>46224</v>
      </c>
      <c r="C449" s="2" t="s">
        <v>246</v>
      </c>
      <c r="D449" s="2" t="s">
        <v>37</v>
      </c>
    </row>
    <row r="450" spans="1:4" x14ac:dyDescent="0.35">
      <c r="A450" s="2" t="s">
        <v>113</v>
      </c>
      <c r="B450" s="3">
        <v>46245</v>
      </c>
      <c r="C450" s="2" t="s">
        <v>245</v>
      </c>
      <c r="D450" s="2" t="s">
        <v>37</v>
      </c>
    </row>
    <row r="451" spans="1:4" x14ac:dyDescent="0.35">
      <c r="A451" s="2" t="s">
        <v>113</v>
      </c>
      <c r="B451" s="3">
        <v>46211</v>
      </c>
      <c r="C451" s="2" t="s">
        <v>30</v>
      </c>
      <c r="D451" s="2" t="s">
        <v>37</v>
      </c>
    </row>
    <row r="452" spans="1:4" x14ac:dyDescent="0.35">
      <c r="A452" s="2" t="s">
        <v>113</v>
      </c>
      <c r="B452" s="3">
        <v>46206</v>
      </c>
      <c r="C452" s="2" t="s">
        <v>246</v>
      </c>
      <c r="D452" s="2" t="s">
        <v>37</v>
      </c>
    </row>
    <row r="453" spans="1:4" x14ac:dyDescent="0.35">
      <c r="A453" s="2" t="s">
        <v>113</v>
      </c>
      <c r="B453" s="3">
        <v>46275</v>
      </c>
      <c r="C453" s="2" t="s">
        <v>245</v>
      </c>
      <c r="D453" s="2" t="s">
        <v>37</v>
      </c>
    </row>
    <row r="454" spans="1:4" x14ac:dyDescent="0.35">
      <c r="A454" s="2" t="s">
        <v>113</v>
      </c>
      <c r="B454" s="3">
        <v>46273</v>
      </c>
      <c r="C454" s="2" t="s">
        <v>246</v>
      </c>
      <c r="D454" s="2" t="s">
        <v>37</v>
      </c>
    </row>
    <row r="455" spans="1:4" x14ac:dyDescent="0.35">
      <c r="A455" s="2" t="s">
        <v>113</v>
      </c>
      <c r="B455" s="3">
        <v>46210</v>
      </c>
      <c r="C455" s="2" t="s">
        <v>247</v>
      </c>
      <c r="D455" s="2" t="s">
        <v>37</v>
      </c>
    </row>
    <row r="456" spans="1:4" x14ac:dyDescent="0.35">
      <c r="A456" s="2" t="s">
        <v>113</v>
      </c>
      <c r="B456" s="3">
        <v>46241</v>
      </c>
      <c r="C456" s="2" t="s">
        <v>246</v>
      </c>
      <c r="D456" s="2" t="s">
        <v>37</v>
      </c>
    </row>
    <row r="457" spans="1:4" x14ac:dyDescent="0.35">
      <c r="A457" s="2" t="s">
        <v>113</v>
      </c>
      <c r="B457" s="3">
        <v>46227</v>
      </c>
      <c r="C457" s="2" t="s">
        <v>245</v>
      </c>
      <c r="D457" s="2" t="s">
        <v>37</v>
      </c>
    </row>
    <row r="458" spans="1:4" x14ac:dyDescent="0.35">
      <c r="A458" s="2" t="s">
        <v>115</v>
      </c>
      <c r="B458" s="3">
        <v>46276</v>
      </c>
      <c r="C458" s="2" t="s">
        <v>246</v>
      </c>
      <c r="D458" s="2" t="s">
        <v>41</v>
      </c>
    </row>
    <row r="459" spans="1:4" x14ac:dyDescent="0.35">
      <c r="A459" s="2" t="s">
        <v>115</v>
      </c>
      <c r="B459" s="3">
        <v>46261</v>
      </c>
      <c r="C459" s="2" t="s">
        <v>30</v>
      </c>
      <c r="D459" s="2" t="s">
        <v>41</v>
      </c>
    </row>
    <row r="460" spans="1:4" x14ac:dyDescent="0.35">
      <c r="A460" s="2" t="s">
        <v>115</v>
      </c>
      <c r="B460" s="3">
        <v>46265</v>
      </c>
      <c r="C460" s="2" t="s">
        <v>245</v>
      </c>
      <c r="D460" s="2" t="s">
        <v>41</v>
      </c>
    </row>
    <row r="461" spans="1:4" x14ac:dyDescent="0.35">
      <c r="A461" s="2" t="s">
        <v>115</v>
      </c>
      <c r="B461" s="3">
        <v>46272</v>
      </c>
      <c r="C461" s="2" t="s">
        <v>245</v>
      </c>
      <c r="D461" s="2" t="s">
        <v>41</v>
      </c>
    </row>
    <row r="462" spans="1:4" x14ac:dyDescent="0.35">
      <c r="A462" s="2" t="s">
        <v>115</v>
      </c>
      <c r="B462" s="3">
        <v>46248</v>
      </c>
      <c r="C462" s="2" t="s">
        <v>246</v>
      </c>
      <c r="D462" s="2" t="s">
        <v>41</v>
      </c>
    </row>
    <row r="463" spans="1:4" x14ac:dyDescent="0.35">
      <c r="A463" s="2" t="s">
        <v>115</v>
      </c>
      <c r="B463" s="3">
        <v>46251</v>
      </c>
      <c r="C463" s="2" t="s">
        <v>246</v>
      </c>
      <c r="D463" s="2" t="s">
        <v>41</v>
      </c>
    </row>
    <row r="464" spans="1:4" x14ac:dyDescent="0.35">
      <c r="A464" s="2" t="s">
        <v>115</v>
      </c>
      <c r="B464" s="3">
        <v>46213</v>
      </c>
      <c r="C464" s="2" t="s">
        <v>245</v>
      </c>
      <c r="D464" s="2" t="s">
        <v>41</v>
      </c>
    </row>
    <row r="465" spans="1:4" x14ac:dyDescent="0.35">
      <c r="A465" s="2" t="s">
        <v>115</v>
      </c>
      <c r="B465" s="3">
        <v>46230</v>
      </c>
      <c r="C465" s="2" t="s">
        <v>247</v>
      </c>
      <c r="D465" s="2" t="s">
        <v>41</v>
      </c>
    </row>
    <row r="466" spans="1:4" x14ac:dyDescent="0.35">
      <c r="A466" s="2" t="s">
        <v>115</v>
      </c>
      <c r="B466" s="3">
        <v>46252</v>
      </c>
      <c r="C466" s="2" t="s">
        <v>245</v>
      </c>
      <c r="D466" s="2" t="s">
        <v>41</v>
      </c>
    </row>
    <row r="467" spans="1:4" x14ac:dyDescent="0.35">
      <c r="A467" s="2" t="s">
        <v>115</v>
      </c>
      <c r="B467" s="3">
        <v>46267</v>
      </c>
      <c r="C467" s="2" t="s">
        <v>247</v>
      </c>
      <c r="D467" s="2" t="s">
        <v>41</v>
      </c>
    </row>
    <row r="468" spans="1:4" x14ac:dyDescent="0.35">
      <c r="A468" s="2" t="s">
        <v>115</v>
      </c>
      <c r="B468" s="3">
        <v>46254</v>
      </c>
      <c r="C468" s="2" t="s">
        <v>246</v>
      </c>
      <c r="D468" s="2" t="s">
        <v>41</v>
      </c>
    </row>
    <row r="469" spans="1:4" x14ac:dyDescent="0.35">
      <c r="A469" s="2" t="s">
        <v>115</v>
      </c>
      <c r="B469" s="3">
        <v>46279</v>
      </c>
      <c r="C469" s="2" t="s">
        <v>246</v>
      </c>
      <c r="D469" s="2" t="s">
        <v>41</v>
      </c>
    </row>
    <row r="470" spans="1:4" x14ac:dyDescent="0.35">
      <c r="A470" s="2" t="s">
        <v>117</v>
      </c>
      <c r="B470" s="3">
        <v>46294</v>
      </c>
      <c r="C470" s="2" t="s">
        <v>30</v>
      </c>
      <c r="D470" s="2" t="s">
        <v>22</v>
      </c>
    </row>
    <row r="471" spans="1:4" x14ac:dyDescent="0.35">
      <c r="A471" s="2" t="s">
        <v>117</v>
      </c>
      <c r="B471" s="3">
        <v>46226</v>
      </c>
      <c r="C471" s="2" t="s">
        <v>247</v>
      </c>
      <c r="D471" s="2" t="s">
        <v>22</v>
      </c>
    </row>
    <row r="472" spans="1:4" x14ac:dyDescent="0.35">
      <c r="A472" s="2" t="s">
        <v>117</v>
      </c>
      <c r="B472" s="3">
        <v>46205</v>
      </c>
      <c r="C472" s="2" t="s">
        <v>246</v>
      </c>
      <c r="D472" s="2" t="s">
        <v>22</v>
      </c>
    </row>
    <row r="473" spans="1:4" x14ac:dyDescent="0.35">
      <c r="A473" s="2" t="s">
        <v>117</v>
      </c>
      <c r="B473" s="3">
        <v>46212</v>
      </c>
      <c r="C473" s="2" t="s">
        <v>246</v>
      </c>
      <c r="D473" s="2" t="s">
        <v>22</v>
      </c>
    </row>
    <row r="474" spans="1:4" x14ac:dyDescent="0.35">
      <c r="A474" s="2" t="s">
        <v>117</v>
      </c>
      <c r="B474" s="3">
        <v>46233</v>
      </c>
      <c r="C474" s="2" t="s">
        <v>246</v>
      </c>
      <c r="D474" s="2" t="s">
        <v>22</v>
      </c>
    </row>
    <row r="475" spans="1:4" x14ac:dyDescent="0.35">
      <c r="A475" s="2" t="s">
        <v>117</v>
      </c>
      <c r="B475" s="3">
        <v>46223</v>
      </c>
      <c r="C475" s="2" t="s">
        <v>246</v>
      </c>
      <c r="D475" s="2" t="s">
        <v>22</v>
      </c>
    </row>
    <row r="476" spans="1:4" x14ac:dyDescent="0.35">
      <c r="A476" s="2" t="s">
        <v>117</v>
      </c>
      <c r="B476" s="3">
        <v>46269</v>
      </c>
      <c r="C476" s="2" t="s">
        <v>246</v>
      </c>
      <c r="D476" s="2" t="s">
        <v>22</v>
      </c>
    </row>
    <row r="477" spans="1:4" x14ac:dyDescent="0.35">
      <c r="A477" s="2" t="s">
        <v>117</v>
      </c>
      <c r="B477" s="3">
        <v>46283</v>
      </c>
      <c r="C477" s="2" t="s">
        <v>247</v>
      </c>
      <c r="D477" s="2" t="s">
        <v>22</v>
      </c>
    </row>
    <row r="478" spans="1:4" x14ac:dyDescent="0.35">
      <c r="A478" s="2" t="s">
        <v>117</v>
      </c>
      <c r="B478" s="3">
        <v>46267</v>
      </c>
      <c r="C478" s="2" t="s">
        <v>246</v>
      </c>
      <c r="D478" s="2" t="s">
        <v>22</v>
      </c>
    </row>
    <row r="479" spans="1:4" x14ac:dyDescent="0.35">
      <c r="A479" s="2" t="s">
        <v>117</v>
      </c>
      <c r="B479" s="3">
        <v>46282</v>
      </c>
      <c r="C479" s="2" t="s">
        <v>246</v>
      </c>
      <c r="D479" s="2" t="s">
        <v>22</v>
      </c>
    </row>
    <row r="480" spans="1:4" x14ac:dyDescent="0.35">
      <c r="A480" s="2" t="s">
        <v>117</v>
      </c>
      <c r="B480" s="3">
        <v>46225</v>
      </c>
      <c r="C480" s="2" t="s">
        <v>246</v>
      </c>
      <c r="D480" s="2" t="s">
        <v>22</v>
      </c>
    </row>
    <row r="481" spans="1:4" x14ac:dyDescent="0.35">
      <c r="A481" s="2" t="s">
        <v>117</v>
      </c>
      <c r="B481" s="3">
        <v>46259</v>
      </c>
      <c r="C481" s="2" t="s">
        <v>247</v>
      </c>
      <c r="D481" s="2" t="s">
        <v>22</v>
      </c>
    </row>
    <row r="482" spans="1:4" x14ac:dyDescent="0.35">
      <c r="A482" s="2" t="s">
        <v>119</v>
      </c>
      <c r="B482" s="3">
        <v>46276</v>
      </c>
      <c r="C482" s="2" t="s">
        <v>246</v>
      </c>
      <c r="D482" s="2" t="s">
        <v>17</v>
      </c>
    </row>
    <row r="483" spans="1:4" x14ac:dyDescent="0.35">
      <c r="A483" s="2" t="s">
        <v>119</v>
      </c>
      <c r="B483" s="3">
        <v>46234</v>
      </c>
      <c r="C483" s="2" t="s">
        <v>246</v>
      </c>
      <c r="D483" s="2" t="s">
        <v>17</v>
      </c>
    </row>
    <row r="484" spans="1:4" x14ac:dyDescent="0.35">
      <c r="A484" s="2" t="s">
        <v>119</v>
      </c>
      <c r="B484" s="3">
        <v>46279</v>
      </c>
      <c r="C484" s="2" t="s">
        <v>246</v>
      </c>
      <c r="D484" s="2" t="s">
        <v>17</v>
      </c>
    </row>
    <row r="485" spans="1:4" x14ac:dyDescent="0.35">
      <c r="A485" s="2" t="s">
        <v>119</v>
      </c>
      <c r="B485" s="3">
        <v>46225</v>
      </c>
      <c r="C485" s="2" t="s">
        <v>246</v>
      </c>
      <c r="D485" s="2" t="s">
        <v>17</v>
      </c>
    </row>
    <row r="486" spans="1:4" x14ac:dyDescent="0.35">
      <c r="A486" s="2" t="s">
        <v>119</v>
      </c>
      <c r="B486" s="3">
        <v>46272</v>
      </c>
      <c r="C486" s="2" t="s">
        <v>246</v>
      </c>
      <c r="D486" s="2" t="s">
        <v>17</v>
      </c>
    </row>
    <row r="487" spans="1:4" x14ac:dyDescent="0.35">
      <c r="A487" s="2" t="s">
        <v>119</v>
      </c>
      <c r="B487" s="3">
        <v>46246</v>
      </c>
      <c r="C487" s="2" t="s">
        <v>246</v>
      </c>
      <c r="D487" s="2" t="s">
        <v>17</v>
      </c>
    </row>
    <row r="488" spans="1:4" x14ac:dyDescent="0.35">
      <c r="A488" s="2" t="s">
        <v>119</v>
      </c>
      <c r="B488" s="3">
        <v>46238</v>
      </c>
      <c r="C488" s="2" t="s">
        <v>246</v>
      </c>
      <c r="D488" s="2" t="s">
        <v>17</v>
      </c>
    </row>
    <row r="489" spans="1:4" x14ac:dyDescent="0.35">
      <c r="A489" s="2" t="s">
        <v>119</v>
      </c>
      <c r="B489" s="3">
        <v>46205</v>
      </c>
      <c r="C489" s="2" t="s">
        <v>247</v>
      </c>
      <c r="D489" s="2" t="s">
        <v>17</v>
      </c>
    </row>
    <row r="490" spans="1:4" x14ac:dyDescent="0.35">
      <c r="A490" s="2" t="s">
        <v>119</v>
      </c>
      <c r="B490" s="3">
        <v>46266</v>
      </c>
      <c r="C490" s="2" t="s">
        <v>30</v>
      </c>
      <c r="D490" s="2" t="s">
        <v>17</v>
      </c>
    </row>
    <row r="491" spans="1:4" x14ac:dyDescent="0.35">
      <c r="A491" s="2" t="s">
        <v>119</v>
      </c>
      <c r="B491" s="3">
        <v>46239</v>
      </c>
      <c r="C491" s="2" t="s">
        <v>246</v>
      </c>
      <c r="D491" s="2" t="s">
        <v>17</v>
      </c>
    </row>
    <row r="492" spans="1:4" x14ac:dyDescent="0.35">
      <c r="A492" s="2" t="s">
        <v>119</v>
      </c>
      <c r="B492" s="3">
        <v>46288</v>
      </c>
      <c r="C492" s="2" t="s">
        <v>246</v>
      </c>
      <c r="D492" s="2" t="s">
        <v>17</v>
      </c>
    </row>
    <row r="493" spans="1:4" x14ac:dyDescent="0.35">
      <c r="A493" s="2" t="s">
        <v>119</v>
      </c>
      <c r="B493" s="3">
        <v>46269</v>
      </c>
      <c r="C493" s="2" t="s">
        <v>245</v>
      </c>
      <c r="D493" s="2" t="s">
        <v>17</v>
      </c>
    </row>
    <row r="494" spans="1:4" x14ac:dyDescent="0.35">
      <c r="A494" s="2" t="s">
        <v>121</v>
      </c>
      <c r="B494" s="3">
        <v>46211</v>
      </c>
      <c r="C494" s="2" t="s">
        <v>246</v>
      </c>
      <c r="D494" s="2" t="s">
        <v>123</v>
      </c>
    </row>
    <row r="495" spans="1:4" x14ac:dyDescent="0.35">
      <c r="A495" s="2" t="s">
        <v>121</v>
      </c>
      <c r="B495" s="3">
        <v>46261</v>
      </c>
      <c r="C495" s="2" t="s">
        <v>246</v>
      </c>
      <c r="D495" s="2" t="s">
        <v>123</v>
      </c>
    </row>
    <row r="496" spans="1:4" x14ac:dyDescent="0.35">
      <c r="A496" s="2" t="s">
        <v>121</v>
      </c>
      <c r="B496" s="3">
        <v>46231</v>
      </c>
      <c r="C496" s="2" t="s">
        <v>246</v>
      </c>
      <c r="D496" s="2" t="s">
        <v>123</v>
      </c>
    </row>
    <row r="497" spans="1:4" x14ac:dyDescent="0.35">
      <c r="A497" s="2" t="s">
        <v>121</v>
      </c>
      <c r="B497" s="3">
        <v>46273</v>
      </c>
      <c r="C497" s="2" t="s">
        <v>246</v>
      </c>
      <c r="D497" s="2" t="s">
        <v>123</v>
      </c>
    </row>
    <row r="498" spans="1:4" x14ac:dyDescent="0.35">
      <c r="A498" s="2" t="s">
        <v>121</v>
      </c>
      <c r="B498" s="3">
        <v>46218</v>
      </c>
      <c r="C498" s="2" t="s">
        <v>30</v>
      </c>
      <c r="D498" s="2" t="s">
        <v>123</v>
      </c>
    </row>
    <row r="499" spans="1:4" x14ac:dyDescent="0.35">
      <c r="A499" s="2" t="s">
        <v>121</v>
      </c>
      <c r="B499" s="3">
        <v>46223</v>
      </c>
      <c r="C499" s="2" t="s">
        <v>30</v>
      </c>
      <c r="D499" s="2" t="s">
        <v>123</v>
      </c>
    </row>
    <row r="500" spans="1:4" x14ac:dyDescent="0.35">
      <c r="A500" s="2" t="s">
        <v>121</v>
      </c>
      <c r="B500" s="3">
        <v>46286</v>
      </c>
      <c r="C500" s="2" t="s">
        <v>245</v>
      </c>
      <c r="D500" s="2" t="s">
        <v>123</v>
      </c>
    </row>
    <row r="501" spans="1:4" x14ac:dyDescent="0.35">
      <c r="A501" s="2" t="s">
        <v>121</v>
      </c>
      <c r="B501" s="3">
        <v>46262</v>
      </c>
      <c r="C501" s="2" t="s">
        <v>30</v>
      </c>
      <c r="D501" s="2" t="s">
        <v>123</v>
      </c>
    </row>
    <row r="502" spans="1:4" x14ac:dyDescent="0.35">
      <c r="A502" s="2" t="s">
        <v>121</v>
      </c>
      <c r="B502" s="3">
        <v>46234</v>
      </c>
      <c r="C502" s="2" t="s">
        <v>30</v>
      </c>
      <c r="D502" s="2" t="s">
        <v>123</v>
      </c>
    </row>
    <row r="503" spans="1:4" x14ac:dyDescent="0.35">
      <c r="A503" s="2" t="s">
        <v>121</v>
      </c>
      <c r="B503" s="3">
        <v>46259</v>
      </c>
      <c r="C503" s="2" t="s">
        <v>246</v>
      </c>
      <c r="D503" s="2" t="s">
        <v>123</v>
      </c>
    </row>
    <row r="504" spans="1:4" x14ac:dyDescent="0.35">
      <c r="A504" s="2" t="s">
        <v>121</v>
      </c>
      <c r="B504" s="3">
        <v>46239</v>
      </c>
      <c r="C504" s="2" t="s">
        <v>246</v>
      </c>
      <c r="D504" s="2" t="s">
        <v>123</v>
      </c>
    </row>
    <row r="505" spans="1:4" x14ac:dyDescent="0.35">
      <c r="A505" s="2" t="s">
        <v>121</v>
      </c>
      <c r="B505" s="3">
        <v>46265</v>
      </c>
      <c r="C505" s="2" t="s">
        <v>246</v>
      </c>
      <c r="D505" s="2" t="s">
        <v>123</v>
      </c>
    </row>
    <row r="506" spans="1:4" x14ac:dyDescent="0.35">
      <c r="A506" s="2" t="s">
        <v>124</v>
      </c>
      <c r="B506" s="3">
        <v>46253</v>
      </c>
      <c r="C506" s="2" t="s">
        <v>246</v>
      </c>
      <c r="D506" s="2" t="s">
        <v>37</v>
      </c>
    </row>
    <row r="507" spans="1:4" x14ac:dyDescent="0.35">
      <c r="A507" s="2" t="s">
        <v>124</v>
      </c>
      <c r="B507" s="3">
        <v>46265</v>
      </c>
      <c r="C507" s="2" t="s">
        <v>246</v>
      </c>
      <c r="D507" s="2" t="s">
        <v>37</v>
      </c>
    </row>
    <row r="508" spans="1:4" x14ac:dyDescent="0.35">
      <c r="A508" s="2" t="s">
        <v>124</v>
      </c>
      <c r="B508" s="3">
        <v>46218</v>
      </c>
      <c r="C508" s="2" t="s">
        <v>246</v>
      </c>
      <c r="D508" s="2" t="s">
        <v>37</v>
      </c>
    </row>
    <row r="509" spans="1:4" x14ac:dyDescent="0.35">
      <c r="A509" s="2" t="s">
        <v>124</v>
      </c>
      <c r="B509" s="3">
        <v>46212</v>
      </c>
      <c r="C509" s="2" t="s">
        <v>246</v>
      </c>
      <c r="D509" s="2" t="s">
        <v>37</v>
      </c>
    </row>
    <row r="510" spans="1:4" x14ac:dyDescent="0.35">
      <c r="A510" s="2" t="s">
        <v>124</v>
      </c>
      <c r="B510" s="3">
        <v>46216</v>
      </c>
      <c r="C510" s="2" t="s">
        <v>246</v>
      </c>
      <c r="D510" s="2" t="s">
        <v>37</v>
      </c>
    </row>
    <row r="511" spans="1:4" x14ac:dyDescent="0.35">
      <c r="A511" s="2" t="s">
        <v>124</v>
      </c>
      <c r="B511" s="3">
        <v>46274</v>
      </c>
      <c r="C511" s="2" t="s">
        <v>245</v>
      </c>
      <c r="D511" s="2" t="s">
        <v>37</v>
      </c>
    </row>
    <row r="512" spans="1:4" x14ac:dyDescent="0.35">
      <c r="A512" s="2" t="s">
        <v>124</v>
      </c>
      <c r="B512" s="3">
        <v>46275</v>
      </c>
      <c r="C512" s="2" t="s">
        <v>246</v>
      </c>
      <c r="D512" s="2" t="s">
        <v>37</v>
      </c>
    </row>
    <row r="513" spans="1:4" x14ac:dyDescent="0.35">
      <c r="A513" s="2" t="s">
        <v>124</v>
      </c>
      <c r="B513" s="3">
        <v>46224</v>
      </c>
      <c r="C513" s="2" t="s">
        <v>246</v>
      </c>
      <c r="D513" s="2" t="s">
        <v>37</v>
      </c>
    </row>
    <row r="514" spans="1:4" x14ac:dyDescent="0.35">
      <c r="A514" s="2" t="s">
        <v>124</v>
      </c>
      <c r="B514" s="3">
        <v>46248</v>
      </c>
      <c r="C514" s="2" t="s">
        <v>246</v>
      </c>
      <c r="D514" s="2" t="s">
        <v>37</v>
      </c>
    </row>
    <row r="515" spans="1:4" x14ac:dyDescent="0.35">
      <c r="A515" s="2" t="s">
        <v>124</v>
      </c>
      <c r="B515" s="3">
        <v>46211</v>
      </c>
      <c r="C515" s="2" t="s">
        <v>246</v>
      </c>
      <c r="D515" s="2" t="s">
        <v>37</v>
      </c>
    </row>
    <row r="516" spans="1:4" x14ac:dyDescent="0.35">
      <c r="A516" s="2" t="s">
        <v>124</v>
      </c>
      <c r="B516" s="3">
        <v>46254</v>
      </c>
      <c r="C516" s="2" t="s">
        <v>247</v>
      </c>
      <c r="D516" s="2" t="s">
        <v>37</v>
      </c>
    </row>
    <row r="517" spans="1:4" x14ac:dyDescent="0.35">
      <c r="A517" s="2" t="s">
        <v>124</v>
      </c>
      <c r="B517" s="3">
        <v>46210</v>
      </c>
      <c r="C517" s="2" t="s">
        <v>246</v>
      </c>
      <c r="D517" s="2" t="s">
        <v>37</v>
      </c>
    </row>
    <row r="518" spans="1:4" x14ac:dyDescent="0.35">
      <c r="A518" s="2" t="s">
        <v>126</v>
      </c>
      <c r="B518" s="3">
        <v>46287</v>
      </c>
      <c r="C518" s="2" t="s">
        <v>245</v>
      </c>
      <c r="D518" s="2" t="s">
        <v>33</v>
      </c>
    </row>
    <row r="519" spans="1:4" x14ac:dyDescent="0.35">
      <c r="A519" s="2" t="s">
        <v>126</v>
      </c>
      <c r="B519" s="3">
        <v>46258</v>
      </c>
      <c r="C519" s="2" t="s">
        <v>246</v>
      </c>
      <c r="D519" s="2" t="s">
        <v>33</v>
      </c>
    </row>
    <row r="520" spans="1:4" x14ac:dyDescent="0.35">
      <c r="A520" s="2" t="s">
        <v>126</v>
      </c>
      <c r="B520" s="3">
        <v>46212</v>
      </c>
      <c r="C520" s="2" t="s">
        <v>246</v>
      </c>
      <c r="D520" s="2" t="s">
        <v>33</v>
      </c>
    </row>
    <row r="521" spans="1:4" x14ac:dyDescent="0.35">
      <c r="A521" s="2" t="s">
        <v>126</v>
      </c>
      <c r="B521" s="3">
        <v>46248</v>
      </c>
      <c r="C521" s="2" t="s">
        <v>246</v>
      </c>
      <c r="D521" s="2" t="s">
        <v>33</v>
      </c>
    </row>
    <row r="522" spans="1:4" x14ac:dyDescent="0.35">
      <c r="A522" s="2" t="s">
        <v>126</v>
      </c>
      <c r="B522" s="3">
        <v>46205</v>
      </c>
      <c r="C522" s="2" t="s">
        <v>30</v>
      </c>
      <c r="D522" s="2" t="s">
        <v>33</v>
      </c>
    </row>
    <row r="523" spans="1:4" x14ac:dyDescent="0.35">
      <c r="A523" s="2" t="s">
        <v>126</v>
      </c>
      <c r="B523" s="3">
        <v>46225</v>
      </c>
      <c r="C523" s="2" t="s">
        <v>246</v>
      </c>
      <c r="D523" s="2" t="s">
        <v>33</v>
      </c>
    </row>
    <row r="524" spans="1:4" x14ac:dyDescent="0.35">
      <c r="A524" s="2" t="s">
        <v>126</v>
      </c>
      <c r="B524" s="3">
        <v>46268</v>
      </c>
      <c r="C524" s="2" t="s">
        <v>245</v>
      </c>
      <c r="D524" s="2" t="s">
        <v>33</v>
      </c>
    </row>
    <row r="525" spans="1:4" x14ac:dyDescent="0.35">
      <c r="A525" s="2" t="s">
        <v>126</v>
      </c>
      <c r="B525" s="3">
        <v>46267</v>
      </c>
      <c r="C525" s="2" t="s">
        <v>246</v>
      </c>
      <c r="D525" s="2" t="s">
        <v>33</v>
      </c>
    </row>
    <row r="526" spans="1:4" x14ac:dyDescent="0.35">
      <c r="A526" s="2" t="s">
        <v>126</v>
      </c>
      <c r="B526" s="3">
        <v>46206</v>
      </c>
      <c r="C526" s="2" t="s">
        <v>245</v>
      </c>
      <c r="D526" s="2" t="s">
        <v>33</v>
      </c>
    </row>
    <row r="527" spans="1:4" x14ac:dyDescent="0.35">
      <c r="A527" s="2" t="s">
        <v>126</v>
      </c>
      <c r="B527" s="3">
        <v>46223</v>
      </c>
      <c r="C527" s="2" t="s">
        <v>246</v>
      </c>
      <c r="D527" s="2" t="s">
        <v>33</v>
      </c>
    </row>
    <row r="528" spans="1:4" x14ac:dyDescent="0.35">
      <c r="A528" s="2" t="s">
        <v>126</v>
      </c>
      <c r="B528" s="3">
        <v>46259</v>
      </c>
      <c r="C528" s="2" t="s">
        <v>247</v>
      </c>
      <c r="D528" s="2" t="s">
        <v>33</v>
      </c>
    </row>
    <row r="529" spans="1:4" x14ac:dyDescent="0.35">
      <c r="A529" s="2" t="s">
        <v>126</v>
      </c>
      <c r="B529" s="3">
        <v>46231</v>
      </c>
      <c r="C529" s="2" t="s">
        <v>246</v>
      </c>
      <c r="D529" s="2" t="s">
        <v>33</v>
      </c>
    </row>
    <row r="530" spans="1:4" x14ac:dyDescent="0.35">
      <c r="A530" s="2" t="s">
        <v>128</v>
      </c>
      <c r="B530" s="3">
        <v>46286</v>
      </c>
      <c r="C530" s="2" t="s">
        <v>246</v>
      </c>
      <c r="D530" s="2" t="s">
        <v>17</v>
      </c>
    </row>
    <row r="531" spans="1:4" x14ac:dyDescent="0.35">
      <c r="A531" s="2" t="s">
        <v>128</v>
      </c>
      <c r="B531" s="3">
        <v>46273</v>
      </c>
      <c r="C531" s="2" t="s">
        <v>245</v>
      </c>
      <c r="D531" s="2" t="s">
        <v>17</v>
      </c>
    </row>
    <row r="532" spans="1:4" x14ac:dyDescent="0.35">
      <c r="A532" s="2" t="s">
        <v>128</v>
      </c>
      <c r="B532" s="3">
        <v>46290</v>
      </c>
      <c r="C532" s="2" t="s">
        <v>245</v>
      </c>
      <c r="D532" s="2" t="s">
        <v>17</v>
      </c>
    </row>
    <row r="533" spans="1:4" x14ac:dyDescent="0.35">
      <c r="A533" s="2" t="s">
        <v>128</v>
      </c>
      <c r="B533" s="3">
        <v>46275</v>
      </c>
      <c r="C533" s="2" t="s">
        <v>246</v>
      </c>
      <c r="D533" s="2" t="s">
        <v>17</v>
      </c>
    </row>
    <row r="534" spans="1:4" x14ac:dyDescent="0.35">
      <c r="A534" s="2" t="s">
        <v>128</v>
      </c>
      <c r="B534" s="3">
        <v>46262</v>
      </c>
      <c r="C534" s="2" t="s">
        <v>245</v>
      </c>
      <c r="D534" s="2" t="s">
        <v>17</v>
      </c>
    </row>
    <row r="535" spans="1:4" x14ac:dyDescent="0.35">
      <c r="A535" s="2" t="s">
        <v>128</v>
      </c>
      <c r="B535" s="3">
        <v>46239</v>
      </c>
      <c r="C535" s="2" t="s">
        <v>246</v>
      </c>
      <c r="D535" s="2" t="s">
        <v>17</v>
      </c>
    </row>
    <row r="536" spans="1:4" x14ac:dyDescent="0.35">
      <c r="A536" s="2" t="s">
        <v>128</v>
      </c>
      <c r="B536" s="3">
        <v>46245</v>
      </c>
      <c r="C536" s="2" t="s">
        <v>245</v>
      </c>
      <c r="D536" s="2" t="s">
        <v>17</v>
      </c>
    </row>
    <row r="537" spans="1:4" x14ac:dyDescent="0.35">
      <c r="A537" s="2" t="s">
        <v>128</v>
      </c>
      <c r="B537" s="3">
        <v>46238</v>
      </c>
      <c r="C537" s="2" t="s">
        <v>246</v>
      </c>
      <c r="D537" s="2" t="s">
        <v>17</v>
      </c>
    </row>
    <row r="538" spans="1:4" x14ac:dyDescent="0.35">
      <c r="A538" s="2" t="s">
        <v>128</v>
      </c>
      <c r="B538" s="3">
        <v>46267</v>
      </c>
      <c r="C538" s="2" t="s">
        <v>30</v>
      </c>
      <c r="D538" s="2" t="s">
        <v>17</v>
      </c>
    </row>
    <row r="539" spans="1:4" x14ac:dyDescent="0.35">
      <c r="A539" s="2" t="s">
        <v>128</v>
      </c>
      <c r="B539" s="3">
        <v>46231</v>
      </c>
      <c r="C539" s="2" t="s">
        <v>247</v>
      </c>
      <c r="D539" s="2" t="s">
        <v>17</v>
      </c>
    </row>
    <row r="540" spans="1:4" x14ac:dyDescent="0.35">
      <c r="A540" s="2" t="s">
        <v>128</v>
      </c>
      <c r="B540" s="3">
        <v>46230</v>
      </c>
      <c r="C540" s="2" t="s">
        <v>246</v>
      </c>
      <c r="D540" s="2" t="s">
        <v>17</v>
      </c>
    </row>
    <row r="541" spans="1:4" x14ac:dyDescent="0.35">
      <c r="A541" s="2" t="s">
        <v>128</v>
      </c>
      <c r="B541" s="3">
        <v>46294</v>
      </c>
      <c r="C541" s="2" t="s">
        <v>246</v>
      </c>
      <c r="D541" s="2" t="s">
        <v>17</v>
      </c>
    </row>
    <row r="542" spans="1:4" x14ac:dyDescent="0.35">
      <c r="A542" s="2" t="s">
        <v>130</v>
      </c>
      <c r="B542" s="3">
        <v>46237</v>
      </c>
      <c r="C542" s="2" t="s">
        <v>245</v>
      </c>
      <c r="D542" s="2" t="s">
        <v>41</v>
      </c>
    </row>
    <row r="543" spans="1:4" x14ac:dyDescent="0.35">
      <c r="A543" s="2" t="s">
        <v>130</v>
      </c>
      <c r="B543" s="3">
        <v>46258</v>
      </c>
      <c r="C543" s="2" t="s">
        <v>245</v>
      </c>
      <c r="D543" s="2" t="s">
        <v>41</v>
      </c>
    </row>
    <row r="544" spans="1:4" x14ac:dyDescent="0.35">
      <c r="A544" s="2" t="s">
        <v>130</v>
      </c>
      <c r="B544" s="3">
        <v>46274</v>
      </c>
      <c r="C544" s="2" t="s">
        <v>246</v>
      </c>
      <c r="D544" s="2" t="s">
        <v>41</v>
      </c>
    </row>
    <row r="545" spans="1:4" x14ac:dyDescent="0.35">
      <c r="A545" s="2" t="s">
        <v>130</v>
      </c>
      <c r="B545" s="3">
        <v>46290</v>
      </c>
      <c r="C545" s="2" t="s">
        <v>246</v>
      </c>
      <c r="D545" s="2" t="s">
        <v>41</v>
      </c>
    </row>
    <row r="546" spans="1:4" x14ac:dyDescent="0.35">
      <c r="A546" s="2" t="s">
        <v>130</v>
      </c>
      <c r="B546" s="3">
        <v>46260</v>
      </c>
      <c r="C546" s="2" t="s">
        <v>246</v>
      </c>
      <c r="D546" s="2" t="s">
        <v>41</v>
      </c>
    </row>
    <row r="547" spans="1:4" x14ac:dyDescent="0.35">
      <c r="A547" s="2" t="s">
        <v>130</v>
      </c>
      <c r="B547" s="3">
        <v>46293</v>
      </c>
      <c r="C547" s="2" t="s">
        <v>246</v>
      </c>
      <c r="D547" s="2" t="s">
        <v>41</v>
      </c>
    </row>
    <row r="548" spans="1:4" x14ac:dyDescent="0.35">
      <c r="A548" s="2" t="s">
        <v>130</v>
      </c>
      <c r="B548" s="3">
        <v>46252</v>
      </c>
      <c r="C548" s="2" t="s">
        <v>245</v>
      </c>
      <c r="D548" s="2" t="s">
        <v>41</v>
      </c>
    </row>
    <row r="549" spans="1:4" x14ac:dyDescent="0.35">
      <c r="A549" s="2" t="s">
        <v>130</v>
      </c>
      <c r="B549" s="3">
        <v>46246</v>
      </c>
      <c r="C549" s="2" t="s">
        <v>30</v>
      </c>
      <c r="D549" s="2" t="s">
        <v>41</v>
      </c>
    </row>
    <row r="550" spans="1:4" x14ac:dyDescent="0.35">
      <c r="A550" s="2" t="s">
        <v>130</v>
      </c>
      <c r="B550" s="3">
        <v>46232</v>
      </c>
      <c r="C550" s="2" t="s">
        <v>30</v>
      </c>
      <c r="D550" s="2" t="s">
        <v>41</v>
      </c>
    </row>
    <row r="551" spans="1:4" x14ac:dyDescent="0.35">
      <c r="A551" s="2" t="s">
        <v>130</v>
      </c>
      <c r="B551" s="3">
        <v>46226</v>
      </c>
      <c r="C551" s="2" t="s">
        <v>245</v>
      </c>
      <c r="D551" s="2" t="s">
        <v>41</v>
      </c>
    </row>
    <row r="552" spans="1:4" x14ac:dyDescent="0.35">
      <c r="A552" s="2" t="s">
        <v>130</v>
      </c>
      <c r="B552" s="3">
        <v>46223</v>
      </c>
      <c r="C552" s="2" t="s">
        <v>246</v>
      </c>
      <c r="D552" s="2" t="s">
        <v>41</v>
      </c>
    </row>
    <row r="553" spans="1:4" x14ac:dyDescent="0.35">
      <c r="A553" s="2" t="s">
        <v>130</v>
      </c>
      <c r="B553" s="3">
        <v>46295</v>
      </c>
      <c r="C553" s="2" t="s">
        <v>246</v>
      </c>
      <c r="D553" s="2" t="s">
        <v>41</v>
      </c>
    </row>
    <row r="554" spans="1:4" x14ac:dyDescent="0.35">
      <c r="A554" s="2" t="s">
        <v>133</v>
      </c>
      <c r="B554" s="3">
        <v>46234</v>
      </c>
      <c r="C554" s="2" t="s">
        <v>245</v>
      </c>
      <c r="D554" s="2" t="s">
        <v>11</v>
      </c>
    </row>
    <row r="555" spans="1:4" x14ac:dyDescent="0.35">
      <c r="A555" s="2" t="s">
        <v>133</v>
      </c>
      <c r="B555" s="3">
        <v>46230</v>
      </c>
      <c r="C555" s="2" t="s">
        <v>246</v>
      </c>
      <c r="D555" s="2" t="s">
        <v>11</v>
      </c>
    </row>
    <row r="556" spans="1:4" x14ac:dyDescent="0.35">
      <c r="A556" s="2" t="s">
        <v>133</v>
      </c>
      <c r="B556" s="3">
        <v>46294</v>
      </c>
      <c r="C556" s="2" t="s">
        <v>247</v>
      </c>
      <c r="D556" s="2" t="s">
        <v>11</v>
      </c>
    </row>
    <row r="557" spans="1:4" x14ac:dyDescent="0.35">
      <c r="A557" s="2" t="s">
        <v>133</v>
      </c>
      <c r="B557" s="3">
        <v>46286</v>
      </c>
      <c r="C557" s="2" t="s">
        <v>246</v>
      </c>
      <c r="D557" s="2" t="s">
        <v>11</v>
      </c>
    </row>
    <row r="558" spans="1:4" x14ac:dyDescent="0.35">
      <c r="A558" s="2" t="s">
        <v>133</v>
      </c>
      <c r="B558" s="3">
        <v>46212</v>
      </c>
      <c r="C558" s="2" t="s">
        <v>247</v>
      </c>
      <c r="D558" s="2" t="s">
        <v>11</v>
      </c>
    </row>
    <row r="559" spans="1:4" x14ac:dyDescent="0.35">
      <c r="A559" s="2" t="s">
        <v>133</v>
      </c>
      <c r="B559" s="3">
        <v>46282</v>
      </c>
      <c r="C559" s="2" t="s">
        <v>246</v>
      </c>
      <c r="D559" s="2" t="s">
        <v>11</v>
      </c>
    </row>
    <row r="560" spans="1:4" x14ac:dyDescent="0.35">
      <c r="A560" s="2" t="s">
        <v>133</v>
      </c>
      <c r="B560" s="3">
        <v>46205</v>
      </c>
      <c r="C560" s="2" t="s">
        <v>246</v>
      </c>
      <c r="D560" s="2" t="s">
        <v>11</v>
      </c>
    </row>
    <row r="561" spans="1:4" x14ac:dyDescent="0.35">
      <c r="A561" s="2" t="s">
        <v>133</v>
      </c>
      <c r="B561" s="3">
        <v>46287</v>
      </c>
      <c r="C561" s="2" t="s">
        <v>246</v>
      </c>
      <c r="D561" s="2" t="s">
        <v>11</v>
      </c>
    </row>
    <row r="562" spans="1:4" x14ac:dyDescent="0.35">
      <c r="A562" s="2" t="s">
        <v>133</v>
      </c>
      <c r="B562" s="3">
        <v>46268</v>
      </c>
      <c r="C562" s="2" t="s">
        <v>246</v>
      </c>
      <c r="D562" s="2" t="s">
        <v>11</v>
      </c>
    </row>
    <row r="563" spans="1:4" x14ac:dyDescent="0.35">
      <c r="A563" s="2" t="s">
        <v>133</v>
      </c>
      <c r="B563" s="3">
        <v>46262</v>
      </c>
      <c r="C563" s="2" t="s">
        <v>247</v>
      </c>
      <c r="D563" s="2" t="s">
        <v>11</v>
      </c>
    </row>
    <row r="564" spans="1:4" x14ac:dyDescent="0.35">
      <c r="A564" s="2" t="s">
        <v>133</v>
      </c>
      <c r="B564" s="3">
        <v>46259</v>
      </c>
      <c r="C564" s="2" t="s">
        <v>246</v>
      </c>
      <c r="D564" s="2" t="s">
        <v>11</v>
      </c>
    </row>
    <row r="565" spans="1:4" x14ac:dyDescent="0.35">
      <c r="A565" s="2" t="s">
        <v>133</v>
      </c>
      <c r="B565" s="3">
        <v>46269</v>
      </c>
      <c r="C565" s="2" t="s">
        <v>246</v>
      </c>
      <c r="D565" s="2" t="s">
        <v>11</v>
      </c>
    </row>
    <row r="566" spans="1:4" x14ac:dyDescent="0.35">
      <c r="A566" s="2" t="s">
        <v>135</v>
      </c>
      <c r="B566" s="3">
        <v>46281</v>
      </c>
      <c r="C566" s="2" t="s">
        <v>246</v>
      </c>
      <c r="D566" s="2" t="s">
        <v>33</v>
      </c>
    </row>
    <row r="567" spans="1:4" x14ac:dyDescent="0.35">
      <c r="A567" s="2" t="s">
        <v>135</v>
      </c>
      <c r="B567" s="3">
        <v>46246</v>
      </c>
      <c r="C567" s="2" t="s">
        <v>245</v>
      </c>
      <c r="D567" s="2" t="s">
        <v>33</v>
      </c>
    </row>
    <row r="568" spans="1:4" x14ac:dyDescent="0.35">
      <c r="A568" s="2" t="s">
        <v>135</v>
      </c>
      <c r="B568" s="3">
        <v>46255</v>
      </c>
      <c r="C568" s="2" t="s">
        <v>246</v>
      </c>
      <c r="D568" s="2" t="s">
        <v>33</v>
      </c>
    </row>
    <row r="569" spans="1:4" x14ac:dyDescent="0.35">
      <c r="A569" s="2" t="s">
        <v>135</v>
      </c>
      <c r="B569" s="3">
        <v>46211</v>
      </c>
      <c r="C569" s="2" t="s">
        <v>246</v>
      </c>
      <c r="D569" s="2" t="s">
        <v>33</v>
      </c>
    </row>
    <row r="570" spans="1:4" x14ac:dyDescent="0.35">
      <c r="A570" s="2" t="s">
        <v>135</v>
      </c>
      <c r="B570" s="3">
        <v>46239</v>
      </c>
      <c r="C570" s="2" t="s">
        <v>246</v>
      </c>
      <c r="D570" s="2" t="s">
        <v>33</v>
      </c>
    </row>
    <row r="571" spans="1:4" x14ac:dyDescent="0.35">
      <c r="A571" s="2" t="s">
        <v>135</v>
      </c>
      <c r="B571" s="3">
        <v>46224</v>
      </c>
      <c r="C571" s="2" t="s">
        <v>246</v>
      </c>
      <c r="D571" s="2" t="s">
        <v>33</v>
      </c>
    </row>
    <row r="572" spans="1:4" x14ac:dyDescent="0.35">
      <c r="A572" s="2" t="s">
        <v>135</v>
      </c>
      <c r="B572" s="3">
        <v>46223</v>
      </c>
      <c r="C572" s="2" t="s">
        <v>246</v>
      </c>
      <c r="D572" s="2" t="s">
        <v>33</v>
      </c>
    </row>
    <row r="573" spans="1:4" x14ac:dyDescent="0.35">
      <c r="A573" s="2" t="s">
        <v>135</v>
      </c>
      <c r="B573" s="3">
        <v>46234</v>
      </c>
      <c r="C573" s="2" t="s">
        <v>247</v>
      </c>
      <c r="D573" s="2" t="s">
        <v>33</v>
      </c>
    </row>
    <row r="574" spans="1:4" x14ac:dyDescent="0.35">
      <c r="A574" s="2" t="s">
        <v>135</v>
      </c>
      <c r="B574" s="3">
        <v>46218</v>
      </c>
      <c r="C574" s="2" t="s">
        <v>245</v>
      </c>
      <c r="D574" s="2" t="s">
        <v>33</v>
      </c>
    </row>
    <row r="575" spans="1:4" x14ac:dyDescent="0.35">
      <c r="A575" s="2" t="s">
        <v>135</v>
      </c>
      <c r="B575" s="3">
        <v>46280</v>
      </c>
      <c r="C575" s="2" t="s">
        <v>245</v>
      </c>
      <c r="D575" s="2" t="s">
        <v>33</v>
      </c>
    </row>
    <row r="576" spans="1:4" x14ac:dyDescent="0.35">
      <c r="A576" s="2" t="s">
        <v>135</v>
      </c>
      <c r="B576" s="3">
        <v>46276</v>
      </c>
      <c r="C576" s="2" t="s">
        <v>246</v>
      </c>
      <c r="D576" s="2" t="s">
        <v>33</v>
      </c>
    </row>
    <row r="577" spans="1:4" x14ac:dyDescent="0.35">
      <c r="A577" s="2" t="s">
        <v>135</v>
      </c>
      <c r="B577" s="3">
        <v>46248</v>
      </c>
      <c r="C577" s="2" t="s">
        <v>246</v>
      </c>
      <c r="D577" s="2" t="s">
        <v>33</v>
      </c>
    </row>
    <row r="578" spans="1:4" x14ac:dyDescent="0.35">
      <c r="A578" s="2" t="s">
        <v>137</v>
      </c>
      <c r="B578" s="3">
        <v>46247</v>
      </c>
      <c r="C578" s="2" t="s">
        <v>245</v>
      </c>
      <c r="D578" s="2" t="s">
        <v>41</v>
      </c>
    </row>
    <row r="579" spans="1:4" x14ac:dyDescent="0.35">
      <c r="A579" s="2" t="s">
        <v>137</v>
      </c>
      <c r="B579" s="3">
        <v>46241</v>
      </c>
      <c r="C579" s="2" t="s">
        <v>247</v>
      </c>
      <c r="D579" s="2" t="s">
        <v>41</v>
      </c>
    </row>
    <row r="580" spans="1:4" x14ac:dyDescent="0.35">
      <c r="A580" s="2" t="s">
        <v>137</v>
      </c>
      <c r="B580" s="3">
        <v>46261</v>
      </c>
      <c r="C580" s="2" t="s">
        <v>247</v>
      </c>
      <c r="D580" s="2" t="s">
        <v>41</v>
      </c>
    </row>
    <row r="581" spans="1:4" x14ac:dyDescent="0.35">
      <c r="A581" s="2" t="s">
        <v>137</v>
      </c>
      <c r="B581" s="3">
        <v>46276</v>
      </c>
      <c r="C581" s="2" t="s">
        <v>30</v>
      </c>
      <c r="D581" s="2" t="s">
        <v>41</v>
      </c>
    </row>
    <row r="582" spans="1:4" x14ac:dyDescent="0.35">
      <c r="A582" s="2" t="s">
        <v>137</v>
      </c>
      <c r="B582" s="3">
        <v>46211</v>
      </c>
      <c r="C582" s="2" t="s">
        <v>247</v>
      </c>
      <c r="D582" s="2" t="s">
        <v>41</v>
      </c>
    </row>
    <row r="583" spans="1:4" x14ac:dyDescent="0.35">
      <c r="A583" s="2" t="s">
        <v>137</v>
      </c>
      <c r="B583" s="3">
        <v>46253</v>
      </c>
      <c r="C583" s="2" t="s">
        <v>30</v>
      </c>
      <c r="D583" s="2" t="s">
        <v>41</v>
      </c>
    </row>
    <row r="584" spans="1:4" x14ac:dyDescent="0.35">
      <c r="A584" s="2" t="s">
        <v>137</v>
      </c>
      <c r="B584" s="3">
        <v>46287</v>
      </c>
      <c r="C584" s="2" t="s">
        <v>246</v>
      </c>
      <c r="D584" s="2" t="s">
        <v>41</v>
      </c>
    </row>
    <row r="585" spans="1:4" x14ac:dyDescent="0.35">
      <c r="A585" s="2" t="s">
        <v>137</v>
      </c>
      <c r="B585" s="3">
        <v>46245</v>
      </c>
      <c r="C585" s="2" t="s">
        <v>246</v>
      </c>
      <c r="D585" s="2" t="s">
        <v>41</v>
      </c>
    </row>
    <row r="586" spans="1:4" x14ac:dyDescent="0.35">
      <c r="A586" s="2" t="s">
        <v>137</v>
      </c>
      <c r="B586" s="3">
        <v>46262</v>
      </c>
      <c r="C586" s="2" t="s">
        <v>247</v>
      </c>
      <c r="D586" s="2" t="s">
        <v>41</v>
      </c>
    </row>
    <row r="587" spans="1:4" x14ac:dyDescent="0.35">
      <c r="A587" s="2" t="s">
        <v>137</v>
      </c>
      <c r="B587" s="3">
        <v>46217</v>
      </c>
      <c r="C587" s="2" t="s">
        <v>246</v>
      </c>
      <c r="D587" s="2" t="s">
        <v>41</v>
      </c>
    </row>
    <row r="588" spans="1:4" x14ac:dyDescent="0.35">
      <c r="A588" s="2" t="s">
        <v>137</v>
      </c>
      <c r="B588" s="3">
        <v>46272</v>
      </c>
      <c r="C588" s="2" t="s">
        <v>245</v>
      </c>
      <c r="D588" s="2" t="s">
        <v>41</v>
      </c>
    </row>
    <row r="589" spans="1:4" x14ac:dyDescent="0.35">
      <c r="A589" s="2" t="s">
        <v>137</v>
      </c>
      <c r="B589" s="3">
        <v>46289</v>
      </c>
      <c r="C589" s="2" t="s">
        <v>30</v>
      </c>
      <c r="D589" s="2" t="s">
        <v>41</v>
      </c>
    </row>
    <row r="590" spans="1:4" x14ac:dyDescent="0.35">
      <c r="A590" s="2" t="s">
        <v>139</v>
      </c>
      <c r="B590" s="3">
        <v>46252</v>
      </c>
      <c r="C590" s="2" t="s">
        <v>247</v>
      </c>
      <c r="D590" s="2" t="s">
        <v>11</v>
      </c>
    </row>
    <row r="591" spans="1:4" x14ac:dyDescent="0.35">
      <c r="A591" s="2" t="s">
        <v>139</v>
      </c>
      <c r="B591" s="3">
        <v>46251</v>
      </c>
      <c r="C591" s="2" t="s">
        <v>30</v>
      </c>
      <c r="D591" s="2" t="s">
        <v>11</v>
      </c>
    </row>
    <row r="592" spans="1:4" x14ac:dyDescent="0.35">
      <c r="A592" s="2" t="s">
        <v>139</v>
      </c>
      <c r="B592" s="3">
        <v>46237</v>
      </c>
      <c r="C592" s="2" t="s">
        <v>246</v>
      </c>
      <c r="D592" s="2" t="s">
        <v>11</v>
      </c>
    </row>
    <row r="593" spans="1:4" x14ac:dyDescent="0.35">
      <c r="A593" s="2" t="s">
        <v>139</v>
      </c>
      <c r="B593" s="3">
        <v>46230</v>
      </c>
      <c r="C593" s="2" t="s">
        <v>246</v>
      </c>
      <c r="D593" s="2" t="s">
        <v>11</v>
      </c>
    </row>
    <row r="594" spans="1:4" x14ac:dyDescent="0.35">
      <c r="A594" s="2" t="s">
        <v>139</v>
      </c>
      <c r="B594" s="3">
        <v>46246</v>
      </c>
      <c r="C594" s="2" t="s">
        <v>246</v>
      </c>
      <c r="D594" s="2" t="s">
        <v>11</v>
      </c>
    </row>
    <row r="595" spans="1:4" x14ac:dyDescent="0.35">
      <c r="A595" s="2" t="s">
        <v>139</v>
      </c>
      <c r="B595" s="3">
        <v>46275</v>
      </c>
      <c r="C595" s="2" t="s">
        <v>246</v>
      </c>
      <c r="D595" s="2" t="s">
        <v>11</v>
      </c>
    </row>
    <row r="596" spans="1:4" x14ac:dyDescent="0.35">
      <c r="A596" s="2" t="s">
        <v>139</v>
      </c>
      <c r="B596" s="3">
        <v>46276</v>
      </c>
      <c r="C596" s="2" t="s">
        <v>246</v>
      </c>
      <c r="D596" s="2" t="s">
        <v>11</v>
      </c>
    </row>
    <row r="597" spans="1:4" x14ac:dyDescent="0.35">
      <c r="A597" s="2" t="s">
        <v>139</v>
      </c>
      <c r="B597" s="3">
        <v>46290</v>
      </c>
      <c r="C597" s="2" t="s">
        <v>247</v>
      </c>
      <c r="D597" s="2" t="s">
        <v>11</v>
      </c>
    </row>
    <row r="598" spans="1:4" x14ac:dyDescent="0.35">
      <c r="A598" s="2" t="s">
        <v>139</v>
      </c>
      <c r="B598" s="3">
        <v>46267</v>
      </c>
      <c r="C598" s="2" t="s">
        <v>246</v>
      </c>
      <c r="D598" s="2" t="s">
        <v>11</v>
      </c>
    </row>
    <row r="599" spans="1:4" x14ac:dyDescent="0.35">
      <c r="A599" s="2" t="s">
        <v>139</v>
      </c>
      <c r="B599" s="3">
        <v>46293</v>
      </c>
      <c r="C599" s="2" t="s">
        <v>247</v>
      </c>
      <c r="D599" s="2" t="s">
        <v>11</v>
      </c>
    </row>
    <row r="600" spans="1:4" x14ac:dyDescent="0.35">
      <c r="A600" s="2" t="s">
        <v>139</v>
      </c>
      <c r="B600" s="3">
        <v>46286</v>
      </c>
      <c r="C600" s="2" t="s">
        <v>30</v>
      </c>
      <c r="D600" s="2" t="s">
        <v>11</v>
      </c>
    </row>
    <row r="601" spans="1:4" x14ac:dyDescent="0.35">
      <c r="A601" s="2" t="s">
        <v>139</v>
      </c>
      <c r="B601" s="3">
        <v>46283</v>
      </c>
      <c r="C601" s="2" t="s">
        <v>30</v>
      </c>
      <c r="D601" s="2" t="s">
        <v>11</v>
      </c>
    </row>
    <row r="602" spans="1:4" x14ac:dyDescent="0.35">
      <c r="A602" s="2" t="s">
        <v>142</v>
      </c>
      <c r="B602" s="3">
        <v>46295</v>
      </c>
      <c r="C602" s="2" t="s">
        <v>246</v>
      </c>
      <c r="D602" s="2" t="s">
        <v>37</v>
      </c>
    </row>
    <row r="603" spans="1:4" x14ac:dyDescent="0.35">
      <c r="A603" s="2" t="s">
        <v>142</v>
      </c>
      <c r="B603" s="3">
        <v>46286</v>
      </c>
      <c r="C603" s="2" t="s">
        <v>246</v>
      </c>
      <c r="D603" s="2" t="s">
        <v>37</v>
      </c>
    </row>
    <row r="604" spans="1:4" x14ac:dyDescent="0.35">
      <c r="A604" s="2" t="s">
        <v>142</v>
      </c>
      <c r="B604" s="3">
        <v>46289</v>
      </c>
      <c r="C604" s="2" t="s">
        <v>246</v>
      </c>
      <c r="D604" s="2" t="s">
        <v>37</v>
      </c>
    </row>
    <row r="605" spans="1:4" x14ac:dyDescent="0.35">
      <c r="A605" s="2" t="s">
        <v>142</v>
      </c>
      <c r="B605" s="3">
        <v>46234</v>
      </c>
      <c r="C605" s="2" t="s">
        <v>246</v>
      </c>
      <c r="D605" s="2" t="s">
        <v>37</v>
      </c>
    </row>
    <row r="606" spans="1:4" x14ac:dyDescent="0.35">
      <c r="A606" s="2" t="s">
        <v>142</v>
      </c>
      <c r="B606" s="3">
        <v>46240</v>
      </c>
      <c r="C606" s="2" t="s">
        <v>246</v>
      </c>
      <c r="D606" s="2" t="s">
        <v>37</v>
      </c>
    </row>
    <row r="607" spans="1:4" x14ac:dyDescent="0.35">
      <c r="A607" s="2" t="s">
        <v>142</v>
      </c>
      <c r="B607" s="3">
        <v>46241</v>
      </c>
      <c r="C607" s="2" t="s">
        <v>245</v>
      </c>
      <c r="D607" s="2" t="s">
        <v>37</v>
      </c>
    </row>
    <row r="608" spans="1:4" x14ac:dyDescent="0.35">
      <c r="A608" s="2" t="s">
        <v>142</v>
      </c>
      <c r="B608" s="3">
        <v>46274</v>
      </c>
      <c r="C608" s="2" t="s">
        <v>245</v>
      </c>
      <c r="D608" s="2" t="s">
        <v>37</v>
      </c>
    </row>
    <row r="609" spans="1:4" x14ac:dyDescent="0.35">
      <c r="A609" s="2" t="s">
        <v>142</v>
      </c>
      <c r="B609" s="3">
        <v>46238</v>
      </c>
      <c r="C609" s="2" t="s">
        <v>246</v>
      </c>
      <c r="D609" s="2" t="s">
        <v>37</v>
      </c>
    </row>
    <row r="610" spans="1:4" x14ac:dyDescent="0.35">
      <c r="A610" s="2" t="s">
        <v>142</v>
      </c>
      <c r="B610" s="3">
        <v>46254</v>
      </c>
      <c r="C610" s="2" t="s">
        <v>246</v>
      </c>
      <c r="D610" s="2" t="s">
        <v>37</v>
      </c>
    </row>
    <row r="611" spans="1:4" x14ac:dyDescent="0.35">
      <c r="A611" s="2" t="s">
        <v>142</v>
      </c>
      <c r="B611" s="3">
        <v>46205</v>
      </c>
      <c r="C611" s="2" t="s">
        <v>245</v>
      </c>
      <c r="D611" s="2" t="s">
        <v>37</v>
      </c>
    </row>
    <row r="612" spans="1:4" x14ac:dyDescent="0.35">
      <c r="A612" s="2" t="s">
        <v>142</v>
      </c>
      <c r="B612" s="3">
        <v>46212</v>
      </c>
      <c r="C612" s="2" t="s">
        <v>30</v>
      </c>
      <c r="D612" s="2" t="s">
        <v>37</v>
      </c>
    </row>
    <row r="613" spans="1:4" x14ac:dyDescent="0.35">
      <c r="A613" s="2" t="s">
        <v>142</v>
      </c>
      <c r="B613" s="3">
        <v>46231</v>
      </c>
      <c r="C613" s="2" t="s">
        <v>247</v>
      </c>
      <c r="D613" s="2" t="s">
        <v>37</v>
      </c>
    </row>
    <row r="614" spans="1:4" x14ac:dyDescent="0.35">
      <c r="A614" s="2" t="s">
        <v>144</v>
      </c>
      <c r="B614" s="3">
        <v>46239</v>
      </c>
      <c r="C614" s="2" t="s">
        <v>30</v>
      </c>
      <c r="D614" s="2" t="s">
        <v>41</v>
      </c>
    </row>
    <row r="615" spans="1:4" x14ac:dyDescent="0.35">
      <c r="A615" s="2" t="s">
        <v>144</v>
      </c>
      <c r="B615" s="3">
        <v>46261</v>
      </c>
      <c r="C615" s="2" t="s">
        <v>246</v>
      </c>
      <c r="D615" s="2" t="s">
        <v>41</v>
      </c>
    </row>
    <row r="616" spans="1:4" x14ac:dyDescent="0.35">
      <c r="A616" s="2" t="s">
        <v>144</v>
      </c>
      <c r="B616" s="3">
        <v>46272</v>
      </c>
      <c r="C616" s="2" t="s">
        <v>246</v>
      </c>
      <c r="D616" s="2" t="s">
        <v>41</v>
      </c>
    </row>
    <row r="617" spans="1:4" x14ac:dyDescent="0.35">
      <c r="A617" s="2" t="s">
        <v>144</v>
      </c>
      <c r="B617" s="3">
        <v>46252</v>
      </c>
      <c r="C617" s="2" t="s">
        <v>246</v>
      </c>
      <c r="D617" s="2" t="s">
        <v>41</v>
      </c>
    </row>
    <row r="618" spans="1:4" x14ac:dyDescent="0.35">
      <c r="A618" s="2" t="s">
        <v>144</v>
      </c>
      <c r="B618" s="3">
        <v>46265</v>
      </c>
      <c r="C618" s="2" t="s">
        <v>247</v>
      </c>
      <c r="D618" s="2" t="s">
        <v>41</v>
      </c>
    </row>
    <row r="619" spans="1:4" x14ac:dyDescent="0.35">
      <c r="A619" s="2" t="s">
        <v>144</v>
      </c>
      <c r="B619" s="3">
        <v>46246</v>
      </c>
      <c r="C619" s="2" t="s">
        <v>30</v>
      </c>
      <c r="D619" s="2" t="s">
        <v>41</v>
      </c>
    </row>
    <row r="620" spans="1:4" x14ac:dyDescent="0.35">
      <c r="A620" s="2" t="s">
        <v>144</v>
      </c>
      <c r="B620" s="3">
        <v>46294</v>
      </c>
      <c r="C620" s="2" t="s">
        <v>245</v>
      </c>
      <c r="D620" s="2" t="s">
        <v>41</v>
      </c>
    </row>
    <row r="621" spans="1:4" x14ac:dyDescent="0.35">
      <c r="A621" s="2" t="s">
        <v>144</v>
      </c>
      <c r="B621" s="3">
        <v>46254</v>
      </c>
      <c r="C621" s="2" t="s">
        <v>246</v>
      </c>
      <c r="D621" s="2" t="s">
        <v>41</v>
      </c>
    </row>
    <row r="622" spans="1:4" x14ac:dyDescent="0.35">
      <c r="A622" s="2" t="s">
        <v>144</v>
      </c>
      <c r="B622" s="3">
        <v>46253</v>
      </c>
      <c r="C622" s="2" t="s">
        <v>246</v>
      </c>
      <c r="D622" s="2" t="s">
        <v>41</v>
      </c>
    </row>
    <row r="623" spans="1:4" x14ac:dyDescent="0.35">
      <c r="A623" s="2" t="s">
        <v>144</v>
      </c>
      <c r="B623" s="3">
        <v>46206</v>
      </c>
      <c r="C623" s="2" t="s">
        <v>30</v>
      </c>
      <c r="D623" s="2" t="s">
        <v>41</v>
      </c>
    </row>
    <row r="624" spans="1:4" x14ac:dyDescent="0.35">
      <c r="A624" s="2" t="s">
        <v>144</v>
      </c>
      <c r="B624" s="3">
        <v>46266</v>
      </c>
      <c r="C624" s="2" t="s">
        <v>245</v>
      </c>
      <c r="D624" s="2" t="s">
        <v>41</v>
      </c>
    </row>
    <row r="625" spans="1:4" x14ac:dyDescent="0.35">
      <c r="A625" s="2" t="s">
        <v>144</v>
      </c>
      <c r="B625" s="3">
        <v>46259</v>
      </c>
      <c r="C625" s="2" t="s">
        <v>245</v>
      </c>
      <c r="D625" s="2" t="s">
        <v>41</v>
      </c>
    </row>
    <row r="626" spans="1:4" x14ac:dyDescent="0.35">
      <c r="A626" s="2" t="s">
        <v>146</v>
      </c>
      <c r="B626" s="3">
        <v>46280</v>
      </c>
      <c r="C626" s="2" t="s">
        <v>245</v>
      </c>
      <c r="D626" s="2" t="s">
        <v>37</v>
      </c>
    </row>
    <row r="627" spans="1:4" x14ac:dyDescent="0.35">
      <c r="A627" s="2" t="s">
        <v>146</v>
      </c>
      <c r="B627" s="3">
        <v>46231</v>
      </c>
      <c r="C627" s="2" t="s">
        <v>247</v>
      </c>
      <c r="D627" s="2" t="s">
        <v>37</v>
      </c>
    </row>
    <row r="628" spans="1:4" x14ac:dyDescent="0.35">
      <c r="A628" s="2" t="s">
        <v>146</v>
      </c>
      <c r="B628" s="3">
        <v>46237</v>
      </c>
      <c r="C628" s="2" t="s">
        <v>246</v>
      </c>
      <c r="D628" s="2" t="s">
        <v>37</v>
      </c>
    </row>
    <row r="629" spans="1:4" x14ac:dyDescent="0.35">
      <c r="A629" s="2" t="s">
        <v>146</v>
      </c>
      <c r="B629" s="3">
        <v>46219</v>
      </c>
      <c r="C629" s="2" t="s">
        <v>246</v>
      </c>
      <c r="D629" s="2" t="s">
        <v>37</v>
      </c>
    </row>
    <row r="630" spans="1:4" x14ac:dyDescent="0.35">
      <c r="A630" s="2" t="s">
        <v>146</v>
      </c>
      <c r="B630" s="3">
        <v>46210</v>
      </c>
      <c r="C630" s="2" t="s">
        <v>246</v>
      </c>
      <c r="D630" s="2" t="s">
        <v>37</v>
      </c>
    </row>
    <row r="631" spans="1:4" x14ac:dyDescent="0.35">
      <c r="A631" s="2" t="s">
        <v>146</v>
      </c>
      <c r="B631" s="3">
        <v>46213</v>
      </c>
      <c r="C631" s="2" t="s">
        <v>246</v>
      </c>
      <c r="D631" s="2" t="s">
        <v>37</v>
      </c>
    </row>
    <row r="632" spans="1:4" x14ac:dyDescent="0.35">
      <c r="A632" s="2" t="s">
        <v>146</v>
      </c>
      <c r="B632" s="3">
        <v>46258</v>
      </c>
      <c r="C632" s="2" t="s">
        <v>246</v>
      </c>
      <c r="D632" s="2" t="s">
        <v>37</v>
      </c>
    </row>
    <row r="633" spans="1:4" x14ac:dyDescent="0.35">
      <c r="A633" s="2" t="s">
        <v>146</v>
      </c>
      <c r="B633" s="3">
        <v>46288</v>
      </c>
      <c r="C633" s="2" t="s">
        <v>245</v>
      </c>
      <c r="D633" s="2" t="s">
        <v>37</v>
      </c>
    </row>
    <row r="634" spans="1:4" x14ac:dyDescent="0.35">
      <c r="A634" s="2" t="s">
        <v>146</v>
      </c>
      <c r="B634" s="3">
        <v>46218</v>
      </c>
      <c r="C634" s="2" t="s">
        <v>246</v>
      </c>
      <c r="D634" s="2" t="s">
        <v>37</v>
      </c>
    </row>
    <row r="635" spans="1:4" x14ac:dyDescent="0.35">
      <c r="A635" s="2" t="s">
        <v>146</v>
      </c>
      <c r="B635" s="3">
        <v>46227</v>
      </c>
      <c r="C635" s="2" t="s">
        <v>246</v>
      </c>
      <c r="D635" s="2" t="s">
        <v>37</v>
      </c>
    </row>
    <row r="636" spans="1:4" x14ac:dyDescent="0.35">
      <c r="A636" s="2" t="s">
        <v>146</v>
      </c>
      <c r="B636" s="3">
        <v>46272</v>
      </c>
      <c r="C636" s="2" t="s">
        <v>246</v>
      </c>
      <c r="D636" s="2" t="s">
        <v>37</v>
      </c>
    </row>
    <row r="637" spans="1:4" x14ac:dyDescent="0.35">
      <c r="A637" s="2" t="s">
        <v>146</v>
      </c>
      <c r="B637" s="3">
        <v>46283</v>
      </c>
      <c r="C637" s="2" t="s">
        <v>246</v>
      </c>
      <c r="D637" s="2" t="s">
        <v>37</v>
      </c>
    </row>
    <row r="638" spans="1:4" x14ac:dyDescent="0.35">
      <c r="A638" s="2" t="s">
        <v>148</v>
      </c>
      <c r="B638" s="3">
        <v>46209</v>
      </c>
      <c r="C638" s="2" t="s">
        <v>245</v>
      </c>
      <c r="D638" s="2" t="s">
        <v>41</v>
      </c>
    </row>
    <row r="639" spans="1:4" x14ac:dyDescent="0.35">
      <c r="A639" s="2" t="s">
        <v>148</v>
      </c>
      <c r="B639" s="3">
        <v>46244</v>
      </c>
      <c r="C639" s="2" t="s">
        <v>30</v>
      </c>
      <c r="D639" s="2" t="s">
        <v>41</v>
      </c>
    </row>
    <row r="640" spans="1:4" x14ac:dyDescent="0.35">
      <c r="A640" s="2" t="s">
        <v>148</v>
      </c>
      <c r="B640" s="3">
        <v>46238</v>
      </c>
      <c r="C640" s="2" t="s">
        <v>246</v>
      </c>
      <c r="D640" s="2" t="s">
        <v>41</v>
      </c>
    </row>
    <row r="641" spans="1:4" x14ac:dyDescent="0.35">
      <c r="A641" s="2" t="s">
        <v>148</v>
      </c>
      <c r="B641" s="3">
        <v>46252</v>
      </c>
      <c r="C641" s="2" t="s">
        <v>245</v>
      </c>
      <c r="D641" s="2" t="s">
        <v>41</v>
      </c>
    </row>
    <row r="642" spans="1:4" x14ac:dyDescent="0.35">
      <c r="A642" s="2" t="s">
        <v>148</v>
      </c>
      <c r="B642" s="3">
        <v>46255</v>
      </c>
      <c r="C642" s="2" t="s">
        <v>246</v>
      </c>
      <c r="D642" s="2" t="s">
        <v>41</v>
      </c>
    </row>
    <row r="643" spans="1:4" x14ac:dyDescent="0.35">
      <c r="A643" s="2" t="s">
        <v>148</v>
      </c>
      <c r="B643" s="3">
        <v>46279</v>
      </c>
      <c r="C643" s="2" t="s">
        <v>245</v>
      </c>
      <c r="D643" s="2" t="s">
        <v>41</v>
      </c>
    </row>
    <row r="644" spans="1:4" x14ac:dyDescent="0.35">
      <c r="A644" s="2" t="s">
        <v>148</v>
      </c>
      <c r="B644" s="3">
        <v>46224</v>
      </c>
      <c r="C644" s="2" t="s">
        <v>246</v>
      </c>
      <c r="D644" s="2" t="s">
        <v>41</v>
      </c>
    </row>
    <row r="645" spans="1:4" x14ac:dyDescent="0.35">
      <c r="A645" s="2" t="s">
        <v>148</v>
      </c>
      <c r="B645" s="3">
        <v>46287</v>
      </c>
      <c r="C645" s="2" t="s">
        <v>247</v>
      </c>
      <c r="D645" s="2" t="s">
        <v>41</v>
      </c>
    </row>
    <row r="646" spans="1:4" x14ac:dyDescent="0.35">
      <c r="A646" s="2" t="s">
        <v>148</v>
      </c>
      <c r="B646" s="3">
        <v>46239</v>
      </c>
      <c r="C646" s="2" t="s">
        <v>245</v>
      </c>
      <c r="D646" s="2" t="s">
        <v>41</v>
      </c>
    </row>
    <row r="647" spans="1:4" x14ac:dyDescent="0.35">
      <c r="A647" s="2" t="s">
        <v>148</v>
      </c>
      <c r="B647" s="3">
        <v>46205</v>
      </c>
      <c r="C647" s="2" t="s">
        <v>246</v>
      </c>
      <c r="D647" s="2" t="s">
        <v>41</v>
      </c>
    </row>
    <row r="648" spans="1:4" x14ac:dyDescent="0.35">
      <c r="A648" s="2" t="s">
        <v>148</v>
      </c>
      <c r="B648" s="3">
        <v>46232</v>
      </c>
      <c r="C648" s="2" t="s">
        <v>246</v>
      </c>
      <c r="D648" s="2" t="s">
        <v>41</v>
      </c>
    </row>
    <row r="649" spans="1:4" x14ac:dyDescent="0.35">
      <c r="A649" s="2" t="s">
        <v>148</v>
      </c>
      <c r="B649" s="3">
        <v>46274</v>
      </c>
      <c r="C649" s="2" t="s">
        <v>30</v>
      </c>
      <c r="D649" s="2" t="s">
        <v>41</v>
      </c>
    </row>
    <row r="650" spans="1:4" x14ac:dyDescent="0.35">
      <c r="A650" s="2" t="s">
        <v>151</v>
      </c>
      <c r="B650" s="3">
        <v>46254</v>
      </c>
      <c r="C650" s="2" t="s">
        <v>30</v>
      </c>
      <c r="D650" s="2" t="s">
        <v>37</v>
      </c>
    </row>
    <row r="651" spans="1:4" x14ac:dyDescent="0.35">
      <c r="A651" s="2" t="s">
        <v>151</v>
      </c>
      <c r="B651" s="3">
        <v>46295</v>
      </c>
      <c r="C651" s="2" t="s">
        <v>247</v>
      </c>
      <c r="D651" s="2" t="s">
        <v>37</v>
      </c>
    </row>
    <row r="652" spans="1:4" x14ac:dyDescent="0.35">
      <c r="A652" s="2" t="s">
        <v>151</v>
      </c>
      <c r="B652" s="3">
        <v>46205</v>
      </c>
      <c r="C652" s="2" t="s">
        <v>246</v>
      </c>
      <c r="D652" s="2" t="s">
        <v>37</v>
      </c>
    </row>
    <row r="653" spans="1:4" x14ac:dyDescent="0.35">
      <c r="A653" s="2" t="s">
        <v>151</v>
      </c>
      <c r="B653" s="3">
        <v>46213</v>
      </c>
      <c r="C653" s="2" t="s">
        <v>246</v>
      </c>
      <c r="D653" s="2" t="s">
        <v>37</v>
      </c>
    </row>
    <row r="654" spans="1:4" x14ac:dyDescent="0.35">
      <c r="A654" s="2" t="s">
        <v>151</v>
      </c>
      <c r="B654" s="3">
        <v>46288</v>
      </c>
      <c r="C654" s="2" t="s">
        <v>245</v>
      </c>
      <c r="D654" s="2" t="s">
        <v>37</v>
      </c>
    </row>
    <row r="655" spans="1:4" x14ac:dyDescent="0.35">
      <c r="A655" s="2" t="s">
        <v>151</v>
      </c>
      <c r="B655" s="3">
        <v>46227</v>
      </c>
      <c r="C655" s="2" t="s">
        <v>246</v>
      </c>
      <c r="D655" s="2" t="s">
        <v>37</v>
      </c>
    </row>
    <row r="656" spans="1:4" x14ac:dyDescent="0.35">
      <c r="A656" s="2" t="s">
        <v>151</v>
      </c>
      <c r="B656" s="3">
        <v>46258</v>
      </c>
      <c r="C656" s="2" t="s">
        <v>30</v>
      </c>
      <c r="D656" s="2" t="s">
        <v>37</v>
      </c>
    </row>
    <row r="657" spans="1:4" x14ac:dyDescent="0.35">
      <c r="A657" s="2" t="s">
        <v>151</v>
      </c>
      <c r="B657" s="3">
        <v>46211</v>
      </c>
      <c r="C657" s="2" t="s">
        <v>246</v>
      </c>
      <c r="D657" s="2" t="s">
        <v>37</v>
      </c>
    </row>
    <row r="658" spans="1:4" x14ac:dyDescent="0.35">
      <c r="A658" s="2" t="s">
        <v>151</v>
      </c>
      <c r="B658" s="3">
        <v>46216</v>
      </c>
      <c r="C658" s="2" t="s">
        <v>30</v>
      </c>
      <c r="D658" s="2" t="s">
        <v>37</v>
      </c>
    </row>
    <row r="659" spans="1:4" x14ac:dyDescent="0.35">
      <c r="A659" s="2" t="s">
        <v>151</v>
      </c>
      <c r="B659" s="3">
        <v>46239</v>
      </c>
      <c r="C659" s="2" t="s">
        <v>246</v>
      </c>
      <c r="D659" s="2" t="s">
        <v>37</v>
      </c>
    </row>
    <row r="660" spans="1:4" x14ac:dyDescent="0.35">
      <c r="A660" s="2" t="s">
        <v>151</v>
      </c>
      <c r="B660" s="3">
        <v>46246</v>
      </c>
      <c r="C660" s="2" t="s">
        <v>247</v>
      </c>
      <c r="D660" s="2" t="s">
        <v>37</v>
      </c>
    </row>
    <row r="661" spans="1:4" x14ac:dyDescent="0.35">
      <c r="A661" s="2" t="s">
        <v>151</v>
      </c>
      <c r="B661" s="3">
        <v>46225</v>
      </c>
      <c r="C661" s="2" t="s">
        <v>247</v>
      </c>
      <c r="D661" s="2" t="s">
        <v>37</v>
      </c>
    </row>
    <row r="662" spans="1:4" x14ac:dyDescent="0.35">
      <c r="A662" s="2" t="s">
        <v>153</v>
      </c>
      <c r="B662" s="3">
        <v>46273</v>
      </c>
      <c r="C662" s="2" t="s">
        <v>246</v>
      </c>
      <c r="D662" s="2" t="s">
        <v>11</v>
      </c>
    </row>
    <row r="663" spans="1:4" x14ac:dyDescent="0.35">
      <c r="A663" s="2" t="s">
        <v>153</v>
      </c>
      <c r="B663" s="3">
        <v>46239</v>
      </c>
      <c r="C663" s="2" t="s">
        <v>246</v>
      </c>
      <c r="D663" s="2" t="s">
        <v>11</v>
      </c>
    </row>
    <row r="664" spans="1:4" x14ac:dyDescent="0.35">
      <c r="A664" s="2" t="s">
        <v>153</v>
      </c>
      <c r="B664" s="3">
        <v>46209</v>
      </c>
      <c r="C664" s="2" t="s">
        <v>247</v>
      </c>
      <c r="D664" s="2" t="s">
        <v>11</v>
      </c>
    </row>
    <row r="665" spans="1:4" x14ac:dyDescent="0.35">
      <c r="A665" s="2" t="s">
        <v>153</v>
      </c>
      <c r="B665" s="3">
        <v>46225</v>
      </c>
      <c r="C665" s="2" t="s">
        <v>247</v>
      </c>
      <c r="D665" s="2" t="s">
        <v>11</v>
      </c>
    </row>
    <row r="666" spans="1:4" x14ac:dyDescent="0.35">
      <c r="A666" s="2" t="s">
        <v>153</v>
      </c>
      <c r="B666" s="3">
        <v>46238</v>
      </c>
      <c r="C666" s="2" t="s">
        <v>246</v>
      </c>
      <c r="D666" s="2" t="s">
        <v>11</v>
      </c>
    </row>
    <row r="667" spans="1:4" x14ac:dyDescent="0.35">
      <c r="A667" s="2" t="s">
        <v>153</v>
      </c>
      <c r="B667" s="3">
        <v>46212</v>
      </c>
      <c r="C667" s="2" t="s">
        <v>246</v>
      </c>
      <c r="D667" s="2" t="s">
        <v>11</v>
      </c>
    </row>
    <row r="668" spans="1:4" x14ac:dyDescent="0.35">
      <c r="A668" s="2" t="s">
        <v>153</v>
      </c>
      <c r="B668" s="3">
        <v>46210</v>
      </c>
      <c r="C668" s="2" t="s">
        <v>246</v>
      </c>
      <c r="D668" s="2" t="s">
        <v>11</v>
      </c>
    </row>
    <row r="669" spans="1:4" x14ac:dyDescent="0.35">
      <c r="A669" s="2" t="s">
        <v>153</v>
      </c>
      <c r="B669" s="3">
        <v>46219</v>
      </c>
      <c r="C669" s="2" t="s">
        <v>246</v>
      </c>
      <c r="D669" s="2" t="s">
        <v>11</v>
      </c>
    </row>
    <row r="670" spans="1:4" x14ac:dyDescent="0.35">
      <c r="A670" s="2" t="s">
        <v>153</v>
      </c>
      <c r="B670" s="3">
        <v>46286</v>
      </c>
      <c r="C670" s="2" t="s">
        <v>246</v>
      </c>
      <c r="D670" s="2" t="s">
        <v>11</v>
      </c>
    </row>
    <row r="671" spans="1:4" x14ac:dyDescent="0.35">
      <c r="A671" s="2" t="s">
        <v>153</v>
      </c>
      <c r="B671" s="3">
        <v>46290</v>
      </c>
      <c r="C671" s="2" t="s">
        <v>247</v>
      </c>
      <c r="D671" s="2" t="s">
        <v>11</v>
      </c>
    </row>
    <row r="672" spans="1:4" x14ac:dyDescent="0.35">
      <c r="A672" s="2" t="s">
        <v>153</v>
      </c>
      <c r="B672" s="3">
        <v>46231</v>
      </c>
      <c r="C672" s="2" t="s">
        <v>246</v>
      </c>
      <c r="D672" s="2" t="s">
        <v>11</v>
      </c>
    </row>
    <row r="673" spans="1:4" x14ac:dyDescent="0.35">
      <c r="A673" s="2" t="s">
        <v>153</v>
      </c>
      <c r="B673" s="3">
        <v>46255</v>
      </c>
      <c r="C673" s="2" t="s">
        <v>246</v>
      </c>
      <c r="D673" s="2" t="s">
        <v>11</v>
      </c>
    </row>
    <row r="674" spans="1:4" x14ac:dyDescent="0.35">
      <c r="A674" s="2" t="s">
        <v>155</v>
      </c>
      <c r="B674" s="3">
        <v>46272</v>
      </c>
      <c r="C674" s="2" t="s">
        <v>246</v>
      </c>
      <c r="D674" s="2" t="s">
        <v>33</v>
      </c>
    </row>
    <row r="675" spans="1:4" x14ac:dyDescent="0.35">
      <c r="A675" s="2" t="s">
        <v>155</v>
      </c>
      <c r="B675" s="3">
        <v>46251</v>
      </c>
      <c r="C675" s="2" t="s">
        <v>245</v>
      </c>
      <c r="D675" s="2" t="s">
        <v>33</v>
      </c>
    </row>
    <row r="676" spans="1:4" x14ac:dyDescent="0.35">
      <c r="A676" s="2" t="s">
        <v>155</v>
      </c>
      <c r="B676" s="3">
        <v>46259</v>
      </c>
      <c r="C676" s="2" t="s">
        <v>245</v>
      </c>
      <c r="D676" s="2" t="s">
        <v>33</v>
      </c>
    </row>
    <row r="677" spans="1:4" x14ac:dyDescent="0.35">
      <c r="A677" s="2" t="s">
        <v>155</v>
      </c>
      <c r="B677" s="3">
        <v>46210</v>
      </c>
      <c r="C677" s="2" t="s">
        <v>246</v>
      </c>
      <c r="D677" s="2" t="s">
        <v>33</v>
      </c>
    </row>
    <row r="678" spans="1:4" x14ac:dyDescent="0.35">
      <c r="A678" s="2" t="s">
        <v>155</v>
      </c>
      <c r="B678" s="3">
        <v>46261</v>
      </c>
      <c r="C678" s="2" t="s">
        <v>246</v>
      </c>
      <c r="D678" s="2" t="s">
        <v>33</v>
      </c>
    </row>
    <row r="679" spans="1:4" x14ac:dyDescent="0.35">
      <c r="A679" s="2" t="s">
        <v>155</v>
      </c>
      <c r="B679" s="3">
        <v>46234</v>
      </c>
      <c r="C679" s="2" t="s">
        <v>246</v>
      </c>
      <c r="D679" s="2" t="s">
        <v>33</v>
      </c>
    </row>
    <row r="680" spans="1:4" x14ac:dyDescent="0.35">
      <c r="A680" s="2" t="s">
        <v>155</v>
      </c>
      <c r="B680" s="3">
        <v>46232</v>
      </c>
      <c r="C680" s="2" t="s">
        <v>246</v>
      </c>
      <c r="D680" s="2" t="s">
        <v>33</v>
      </c>
    </row>
    <row r="681" spans="1:4" x14ac:dyDescent="0.35">
      <c r="A681" s="2" t="s">
        <v>155</v>
      </c>
      <c r="B681" s="3">
        <v>46273</v>
      </c>
      <c r="C681" s="2" t="s">
        <v>30</v>
      </c>
      <c r="D681" s="2" t="s">
        <v>33</v>
      </c>
    </row>
    <row r="682" spans="1:4" x14ac:dyDescent="0.35">
      <c r="A682" s="2" t="s">
        <v>155</v>
      </c>
      <c r="B682" s="3">
        <v>46252</v>
      </c>
      <c r="C682" s="2" t="s">
        <v>246</v>
      </c>
      <c r="D682" s="2" t="s">
        <v>33</v>
      </c>
    </row>
    <row r="683" spans="1:4" x14ac:dyDescent="0.35">
      <c r="A683" s="2" t="s">
        <v>155</v>
      </c>
      <c r="B683" s="3">
        <v>46217</v>
      </c>
      <c r="C683" s="2" t="s">
        <v>246</v>
      </c>
      <c r="D683" s="2" t="s">
        <v>33</v>
      </c>
    </row>
    <row r="684" spans="1:4" x14ac:dyDescent="0.35">
      <c r="A684" s="2" t="s">
        <v>155</v>
      </c>
      <c r="B684" s="3">
        <v>46231</v>
      </c>
      <c r="C684" s="2" t="s">
        <v>30</v>
      </c>
      <c r="D684" s="2" t="s">
        <v>33</v>
      </c>
    </row>
    <row r="685" spans="1:4" x14ac:dyDescent="0.35">
      <c r="A685" s="2" t="s">
        <v>155</v>
      </c>
      <c r="B685" s="3">
        <v>46237</v>
      </c>
      <c r="C685" s="2" t="s">
        <v>246</v>
      </c>
      <c r="D685" s="2" t="s">
        <v>33</v>
      </c>
    </row>
    <row r="686" spans="1:4" x14ac:dyDescent="0.35">
      <c r="A686" s="2" t="s">
        <v>157</v>
      </c>
      <c r="B686" s="3">
        <v>46231</v>
      </c>
      <c r="C686" s="2" t="s">
        <v>246</v>
      </c>
      <c r="D686" s="2" t="s">
        <v>17</v>
      </c>
    </row>
    <row r="687" spans="1:4" x14ac:dyDescent="0.35">
      <c r="A687" s="2" t="s">
        <v>157</v>
      </c>
      <c r="B687" s="3">
        <v>46262</v>
      </c>
      <c r="C687" s="2" t="s">
        <v>30</v>
      </c>
      <c r="D687" s="2" t="s">
        <v>17</v>
      </c>
    </row>
    <row r="688" spans="1:4" x14ac:dyDescent="0.35">
      <c r="A688" s="2" t="s">
        <v>157</v>
      </c>
      <c r="B688" s="3">
        <v>46259</v>
      </c>
      <c r="C688" s="2" t="s">
        <v>30</v>
      </c>
      <c r="D688" s="2" t="s">
        <v>17</v>
      </c>
    </row>
    <row r="689" spans="1:4" x14ac:dyDescent="0.35">
      <c r="A689" s="2" t="s">
        <v>157</v>
      </c>
      <c r="B689" s="3">
        <v>46274</v>
      </c>
      <c r="C689" s="2" t="s">
        <v>246</v>
      </c>
      <c r="D689" s="2" t="s">
        <v>17</v>
      </c>
    </row>
    <row r="690" spans="1:4" x14ac:dyDescent="0.35">
      <c r="A690" s="2" t="s">
        <v>157</v>
      </c>
      <c r="B690" s="3">
        <v>46268</v>
      </c>
      <c r="C690" s="2" t="s">
        <v>246</v>
      </c>
      <c r="D690" s="2" t="s">
        <v>17</v>
      </c>
    </row>
    <row r="691" spans="1:4" x14ac:dyDescent="0.35">
      <c r="A691" s="2" t="s">
        <v>157</v>
      </c>
      <c r="B691" s="3">
        <v>46248</v>
      </c>
      <c r="C691" s="2" t="s">
        <v>30</v>
      </c>
      <c r="D691" s="2" t="s">
        <v>17</v>
      </c>
    </row>
    <row r="692" spans="1:4" x14ac:dyDescent="0.35">
      <c r="A692" s="2" t="s">
        <v>157</v>
      </c>
      <c r="B692" s="3">
        <v>46245</v>
      </c>
      <c r="C692" s="2" t="s">
        <v>246</v>
      </c>
      <c r="D692" s="2" t="s">
        <v>17</v>
      </c>
    </row>
    <row r="693" spans="1:4" x14ac:dyDescent="0.35">
      <c r="A693" s="2" t="s">
        <v>157</v>
      </c>
      <c r="B693" s="3">
        <v>46260</v>
      </c>
      <c r="C693" s="2" t="s">
        <v>30</v>
      </c>
      <c r="D693" s="2" t="s">
        <v>17</v>
      </c>
    </row>
    <row r="694" spans="1:4" x14ac:dyDescent="0.35">
      <c r="A694" s="2" t="s">
        <v>157</v>
      </c>
      <c r="B694" s="3">
        <v>46223</v>
      </c>
      <c r="C694" s="2" t="s">
        <v>247</v>
      </c>
      <c r="D694" s="2" t="s">
        <v>17</v>
      </c>
    </row>
    <row r="695" spans="1:4" x14ac:dyDescent="0.35">
      <c r="A695" s="2" t="s">
        <v>157</v>
      </c>
      <c r="B695" s="3">
        <v>46204</v>
      </c>
      <c r="C695" s="2" t="s">
        <v>246</v>
      </c>
      <c r="D695" s="2" t="s">
        <v>17</v>
      </c>
    </row>
    <row r="696" spans="1:4" x14ac:dyDescent="0.35">
      <c r="A696" s="2" t="s">
        <v>157</v>
      </c>
      <c r="B696" s="3">
        <v>46293</v>
      </c>
      <c r="C696" s="2" t="s">
        <v>30</v>
      </c>
      <c r="D696" s="2" t="s">
        <v>17</v>
      </c>
    </row>
    <row r="697" spans="1:4" x14ac:dyDescent="0.35">
      <c r="A697" s="2" t="s">
        <v>157</v>
      </c>
      <c r="B697" s="3">
        <v>46276</v>
      </c>
      <c r="C697" s="2" t="s">
        <v>247</v>
      </c>
      <c r="D697" s="2" t="s">
        <v>17</v>
      </c>
    </row>
    <row r="698" spans="1:4" x14ac:dyDescent="0.35">
      <c r="A698" s="2" t="s">
        <v>159</v>
      </c>
      <c r="B698" s="3">
        <v>46226</v>
      </c>
      <c r="C698" s="2" t="s">
        <v>245</v>
      </c>
      <c r="D698" s="2" t="s">
        <v>41</v>
      </c>
    </row>
    <row r="699" spans="1:4" x14ac:dyDescent="0.35">
      <c r="A699" s="2" t="s">
        <v>159</v>
      </c>
      <c r="B699" s="3">
        <v>46265</v>
      </c>
      <c r="C699" s="2" t="s">
        <v>246</v>
      </c>
      <c r="D699" s="2" t="s">
        <v>41</v>
      </c>
    </row>
    <row r="700" spans="1:4" x14ac:dyDescent="0.35">
      <c r="A700" s="2" t="s">
        <v>159</v>
      </c>
      <c r="B700" s="3">
        <v>46282</v>
      </c>
      <c r="C700" s="2" t="s">
        <v>246</v>
      </c>
      <c r="D700" s="2" t="s">
        <v>41</v>
      </c>
    </row>
    <row r="701" spans="1:4" x14ac:dyDescent="0.35">
      <c r="A701" s="2" t="s">
        <v>159</v>
      </c>
      <c r="B701" s="3">
        <v>46239</v>
      </c>
      <c r="C701" s="2" t="s">
        <v>247</v>
      </c>
      <c r="D701" s="2" t="s">
        <v>41</v>
      </c>
    </row>
    <row r="702" spans="1:4" x14ac:dyDescent="0.35">
      <c r="A702" s="2" t="s">
        <v>159</v>
      </c>
      <c r="B702" s="3">
        <v>46252</v>
      </c>
      <c r="C702" s="2" t="s">
        <v>246</v>
      </c>
      <c r="D702" s="2" t="s">
        <v>41</v>
      </c>
    </row>
    <row r="703" spans="1:4" x14ac:dyDescent="0.35">
      <c r="A703" s="2" t="s">
        <v>159</v>
      </c>
      <c r="B703" s="3">
        <v>46255</v>
      </c>
      <c r="C703" s="2" t="s">
        <v>30</v>
      </c>
      <c r="D703" s="2" t="s">
        <v>41</v>
      </c>
    </row>
    <row r="704" spans="1:4" x14ac:dyDescent="0.35">
      <c r="A704" s="2" t="s">
        <v>159</v>
      </c>
      <c r="B704" s="3">
        <v>46216</v>
      </c>
      <c r="C704" s="2" t="s">
        <v>246</v>
      </c>
      <c r="D704" s="2" t="s">
        <v>41</v>
      </c>
    </row>
    <row r="705" spans="1:4" x14ac:dyDescent="0.35">
      <c r="A705" s="2" t="s">
        <v>159</v>
      </c>
      <c r="B705" s="3">
        <v>46262</v>
      </c>
      <c r="C705" s="2" t="s">
        <v>30</v>
      </c>
      <c r="D705" s="2" t="s">
        <v>41</v>
      </c>
    </row>
    <row r="706" spans="1:4" x14ac:dyDescent="0.35">
      <c r="A706" s="2" t="s">
        <v>159</v>
      </c>
      <c r="B706" s="3">
        <v>46206</v>
      </c>
      <c r="C706" s="2" t="s">
        <v>245</v>
      </c>
      <c r="D706" s="2" t="s">
        <v>41</v>
      </c>
    </row>
    <row r="707" spans="1:4" x14ac:dyDescent="0.35">
      <c r="A707" s="2" t="s">
        <v>159</v>
      </c>
      <c r="B707" s="3">
        <v>46275</v>
      </c>
      <c r="C707" s="2" t="s">
        <v>247</v>
      </c>
      <c r="D707" s="2" t="s">
        <v>41</v>
      </c>
    </row>
    <row r="708" spans="1:4" x14ac:dyDescent="0.35">
      <c r="A708" s="2" t="s">
        <v>159</v>
      </c>
      <c r="B708" s="3">
        <v>46251</v>
      </c>
      <c r="C708" s="2" t="s">
        <v>246</v>
      </c>
      <c r="D708" s="2" t="s">
        <v>41</v>
      </c>
    </row>
    <row r="709" spans="1:4" x14ac:dyDescent="0.35">
      <c r="A709" s="2" t="s">
        <v>159</v>
      </c>
      <c r="B709" s="3">
        <v>46266</v>
      </c>
      <c r="C709" s="2" t="s">
        <v>30</v>
      </c>
      <c r="D709" s="2" t="s">
        <v>41</v>
      </c>
    </row>
    <row r="710" spans="1:4" x14ac:dyDescent="0.35">
      <c r="A710" s="2" t="s">
        <v>161</v>
      </c>
      <c r="B710" s="3">
        <v>46216</v>
      </c>
      <c r="C710" s="2" t="s">
        <v>246</v>
      </c>
      <c r="D710" s="2" t="s">
        <v>11</v>
      </c>
    </row>
    <row r="711" spans="1:4" x14ac:dyDescent="0.35">
      <c r="A711" s="2" t="s">
        <v>161</v>
      </c>
      <c r="B711" s="3">
        <v>46245</v>
      </c>
      <c r="C711" s="2" t="s">
        <v>246</v>
      </c>
      <c r="D711" s="2" t="s">
        <v>11</v>
      </c>
    </row>
    <row r="712" spans="1:4" x14ac:dyDescent="0.35">
      <c r="A712" s="2" t="s">
        <v>161</v>
      </c>
      <c r="B712" s="3">
        <v>46204</v>
      </c>
      <c r="C712" s="2" t="s">
        <v>246</v>
      </c>
      <c r="D712" s="2" t="s">
        <v>11</v>
      </c>
    </row>
    <row r="713" spans="1:4" x14ac:dyDescent="0.35">
      <c r="A713" s="2" t="s">
        <v>161</v>
      </c>
      <c r="B713" s="3">
        <v>46286</v>
      </c>
      <c r="C713" s="2" t="s">
        <v>246</v>
      </c>
      <c r="D713" s="2" t="s">
        <v>11</v>
      </c>
    </row>
    <row r="714" spans="1:4" x14ac:dyDescent="0.35">
      <c r="A714" s="2" t="s">
        <v>161</v>
      </c>
      <c r="B714" s="3">
        <v>46266</v>
      </c>
      <c r="C714" s="2" t="s">
        <v>30</v>
      </c>
      <c r="D714" s="2" t="s">
        <v>11</v>
      </c>
    </row>
    <row r="715" spans="1:4" x14ac:dyDescent="0.35">
      <c r="A715" s="2" t="s">
        <v>161</v>
      </c>
      <c r="B715" s="3">
        <v>46276</v>
      </c>
      <c r="C715" s="2" t="s">
        <v>246</v>
      </c>
      <c r="D715" s="2" t="s">
        <v>11</v>
      </c>
    </row>
    <row r="716" spans="1:4" x14ac:dyDescent="0.35">
      <c r="A716" s="2" t="s">
        <v>161</v>
      </c>
      <c r="B716" s="3">
        <v>46239</v>
      </c>
      <c r="C716" s="2" t="s">
        <v>30</v>
      </c>
      <c r="D716" s="2" t="s">
        <v>11</v>
      </c>
    </row>
    <row r="717" spans="1:4" x14ac:dyDescent="0.35">
      <c r="A717" s="2" t="s">
        <v>161</v>
      </c>
      <c r="B717" s="3">
        <v>46213</v>
      </c>
      <c r="C717" s="2" t="s">
        <v>246</v>
      </c>
      <c r="D717" s="2" t="s">
        <v>11</v>
      </c>
    </row>
    <row r="718" spans="1:4" x14ac:dyDescent="0.35">
      <c r="A718" s="2" t="s">
        <v>161</v>
      </c>
      <c r="B718" s="3">
        <v>46259</v>
      </c>
      <c r="C718" s="2" t="s">
        <v>246</v>
      </c>
      <c r="D718" s="2" t="s">
        <v>11</v>
      </c>
    </row>
    <row r="719" spans="1:4" x14ac:dyDescent="0.35">
      <c r="A719" s="2" t="s">
        <v>161</v>
      </c>
      <c r="B719" s="3">
        <v>46248</v>
      </c>
      <c r="C719" s="2" t="s">
        <v>245</v>
      </c>
      <c r="D719" s="2" t="s">
        <v>11</v>
      </c>
    </row>
    <row r="720" spans="1:4" x14ac:dyDescent="0.35">
      <c r="A720" s="2" t="s">
        <v>161</v>
      </c>
      <c r="B720" s="3">
        <v>46212</v>
      </c>
      <c r="C720" s="2" t="s">
        <v>246</v>
      </c>
      <c r="D720" s="2" t="s">
        <v>11</v>
      </c>
    </row>
    <row r="721" spans="1:4" x14ac:dyDescent="0.35">
      <c r="A721" s="2" t="s">
        <v>161</v>
      </c>
      <c r="B721" s="3">
        <v>46281</v>
      </c>
      <c r="C721" s="2" t="s">
        <v>245</v>
      </c>
      <c r="D721" s="2" t="s">
        <v>11</v>
      </c>
    </row>
    <row r="722" spans="1:4" x14ac:dyDescent="0.35">
      <c r="A722" s="2" t="s">
        <v>163</v>
      </c>
      <c r="B722" s="3">
        <v>46211</v>
      </c>
      <c r="C722" s="2" t="s">
        <v>246</v>
      </c>
      <c r="D722" s="2" t="s">
        <v>41</v>
      </c>
    </row>
    <row r="723" spans="1:4" x14ac:dyDescent="0.35">
      <c r="A723" s="2" t="s">
        <v>163</v>
      </c>
      <c r="B723" s="3">
        <v>46227</v>
      </c>
      <c r="C723" s="2" t="s">
        <v>247</v>
      </c>
      <c r="D723" s="2" t="s">
        <v>41</v>
      </c>
    </row>
    <row r="724" spans="1:4" x14ac:dyDescent="0.35">
      <c r="A724" s="2" t="s">
        <v>163</v>
      </c>
      <c r="B724" s="3">
        <v>46275</v>
      </c>
      <c r="C724" s="2" t="s">
        <v>30</v>
      </c>
      <c r="D724" s="2" t="s">
        <v>41</v>
      </c>
    </row>
    <row r="725" spans="1:4" x14ac:dyDescent="0.35">
      <c r="A725" s="2" t="s">
        <v>163</v>
      </c>
      <c r="B725" s="3">
        <v>46240</v>
      </c>
      <c r="C725" s="2" t="s">
        <v>30</v>
      </c>
      <c r="D725" s="2" t="s">
        <v>41</v>
      </c>
    </row>
    <row r="726" spans="1:4" x14ac:dyDescent="0.35">
      <c r="A726" s="2" t="s">
        <v>163</v>
      </c>
      <c r="B726" s="3">
        <v>46204</v>
      </c>
      <c r="C726" s="2" t="s">
        <v>245</v>
      </c>
      <c r="D726" s="2" t="s">
        <v>41</v>
      </c>
    </row>
    <row r="727" spans="1:4" x14ac:dyDescent="0.35">
      <c r="A727" s="2" t="s">
        <v>163</v>
      </c>
      <c r="B727" s="3">
        <v>46258</v>
      </c>
      <c r="C727" s="2" t="s">
        <v>245</v>
      </c>
      <c r="D727" s="2" t="s">
        <v>41</v>
      </c>
    </row>
    <row r="728" spans="1:4" x14ac:dyDescent="0.35">
      <c r="A728" s="2" t="s">
        <v>163</v>
      </c>
      <c r="B728" s="3">
        <v>46281</v>
      </c>
      <c r="C728" s="2" t="s">
        <v>247</v>
      </c>
      <c r="D728" s="2" t="s">
        <v>41</v>
      </c>
    </row>
    <row r="729" spans="1:4" x14ac:dyDescent="0.35">
      <c r="A729" s="2" t="s">
        <v>163</v>
      </c>
      <c r="B729" s="3">
        <v>46209</v>
      </c>
      <c r="C729" s="2" t="s">
        <v>245</v>
      </c>
      <c r="D729" s="2" t="s">
        <v>41</v>
      </c>
    </row>
    <row r="730" spans="1:4" x14ac:dyDescent="0.35">
      <c r="A730" s="2" t="s">
        <v>163</v>
      </c>
      <c r="B730" s="3">
        <v>46217</v>
      </c>
      <c r="C730" s="2" t="s">
        <v>246</v>
      </c>
      <c r="D730" s="2" t="s">
        <v>41</v>
      </c>
    </row>
    <row r="731" spans="1:4" x14ac:dyDescent="0.35">
      <c r="A731" s="2" t="s">
        <v>163</v>
      </c>
      <c r="B731" s="3">
        <v>46294</v>
      </c>
      <c r="C731" s="2" t="s">
        <v>246</v>
      </c>
      <c r="D731" s="2" t="s">
        <v>41</v>
      </c>
    </row>
    <row r="732" spans="1:4" x14ac:dyDescent="0.35">
      <c r="A732" s="2" t="s">
        <v>163</v>
      </c>
      <c r="B732" s="3">
        <v>46216</v>
      </c>
      <c r="C732" s="2" t="s">
        <v>246</v>
      </c>
      <c r="D732" s="2" t="s">
        <v>41</v>
      </c>
    </row>
    <row r="733" spans="1:4" x14ac:dyDescent="0.35">
      <c r="A733" s="2" t="s">
        <v>163</v>
      </c>
      <c r="B733" s="3">
        <v>46230</v>
      </c>
      <c r="C733" s="2" t="s">
        <v>30</v>
      </c>
      <c r="D733" s="2" t="s">
        <v>41</v>
      </c>
    </row>
    <row r="734" spans="1:4" x14ac:dyDescent="0.35">
      <c r="A734" s="2" t="s">
        <v>165</v>
      </c>
      <c r="B734" s="3">
        <v>46252</v>
      </c>
      <c r="C734" s="2" t="s">
        <v>246</v>
      </c>
      <c r="D734" s="2" t="s">
        <v>37</v>
      </c>
    </row>
    <row r="735" spans="1:4" x14ac:dyDescent="0.35">
      <c r="A735" s="2" t="s">
        <v>165</v>
      </c>
      <c r="B735" s="3">
        <v>46240</v>
      </c>
      <c r="C735" s="2" t="s">
        <v>246</v>
      </c>
      <c r="D735" s="2" t="s">
        <v>37</v>
      </c>
    </row>
    <row r="736" spans="1:4" x14ac:dyDescent="0.35">
      <c r="A736" s="2" t="s">
        <v>165</v>
      </c>
      <c r="B736" s="3">
        <v>46226</v>
      </c>
      <c r="C736" s="2" t="s">
        <v>30</v>
      </c>
      <c r="D736" s="2" t="s">
        <v>37</v>
      </c>
    </row>
    <row r="737" spans="1:4" x14ac:dyDescent="0.35">
      <c r="A737" s="2" t="s">
        <v>165</v>
      </c>
      <c r="B737" s="3">
        <v>46219</v>
      </c>
      <c r="C737" s="2" t="s">
        <v>247</v>
      </c>
      <c r="D737" s="2" t="s">
        <v>37</v>
      </c>
    </row>
    <row r="738" spans="1:4" x14ac:dyDescent="0.35">
      <c r="A738" s="2" t="s">
        <v>165</v>
      </c>
      <c r="B738" s="3">
        <v>46216</v>
      </c>
      <c r="C738" s="2" t="s">
        <v>246</v>
      </c>
      <c r="D738" s="2" t="s">
        <v>37</v>
      </c>
    </row>
    <row r="739" spans="1:4" x14ac:dyDescent="0.35">
      <c r="A739" s="2" t="s">
        <v>165</v>
      </c>
      <c r="B739" s="3">
        <v>46232</v>
      </c>
      <c r="C739" s="2" t="s">
        <v>246</v>
      </c>
      <c r="D739" s="2" t="s">
        <v>37</v>
      </c>
    </row>
    <row r="740" spans="1:4" x14ac:dyDescent="0.35">
      <c r="A740" s="2" t="s">
        <v>165</v>
      </c>
      <c r="B740" s="3">
        <v>46282</v>
      </c>
      <c r="C740" s="2" t="s">
        <v>246</v>
      </c>
      <c r="D740" s="2" t="s">
        <v>37</v>
      </c>
    </row>
    <row r="741" spans="1:4" x14ac:dyDescent="0.35">
      <c r="A741" s="2" t="s">
        <v>165</v>
      </c>
      <c r="B741" s="3">
        <v>46269</v>
      </c>
      <c r="C741" s="2" t="s">
        <v>245</v>
      </c>
      <c r="D741" s="2" t="s">
        <v>37</v>
      </c>
    </row>
    <row r="742" spans="1:4" x14ac:dyDescent="0.35">
      <c r="A742" s="2" t="s">
        <v>165</v>
      </c>
      <c r="B742" s="3">
        <v>46225</v>
      </c>
      <c r="C742" s="2" t="s">
        <v>246</v>
      </c>
      <c r="D742" s="2" t="s">
        <v>37</v>
      </c>
    </row>
    <row r="743" spans="1:4" x14ac:dyDescent="0.35">
      <c r="A743" s="2" t="s">
        <v>165</v>
      </c>
      <c r="B743" s="3">
        <v>46204</v>
      </c>
      <c r="C743" s="2" t="s">
        <v>246</v>
      </c>
      <c r="D743" s="2" t="s">
        <v>37</v>
      </c>
    </row>
    <row r="744" spans="1:4" x14ac:dyDescent="0.35">
      <c r="A744" s="2" t="s">
        <v>165</v>
      </c>
      <c r="B744" s="3">
        <v>46287</v>
      </c>
      <c r="C744" s="2" t="s">
        <v>247</v>
      </c>
      <c r="D744" s="2" t="s">
        <v>37</v>
      </c>
    </row>
    <row r="745" spans="1:4" x14ac:dyDescent="0.35">
      <c r="A745" s="2" t="s">
        <v>165</v>
      </c>
      <c r="B745" s="3">
        <v>46268</v>
      </c>
      <c r="C745" s="2" t="s">
        <v>246</v>
      </c>
      <c r="D745" s="2" t="s">
        <v>37</v>
      </c>
    </row>
    <row r="746" spans="1:4" x14ac:dyDescent="0.35">
      <c r="A746" s="2" t="s">
        <v>167</v>
      </c>
      <c r="B746" s="3">
        <v>46267</v>
      </c>
      <c r="C746" s="2" t="s">
        <v>247</v>
      </c>
      <c r="D746" s="2" t="s">
        <v>33</v>
      </c>
    </row>
    <row r="747" spans="1:4" x14ac:dyDescent="0.35">
      <c r="A747" s="2" t="s">
        <v>167</v>
      </c>
      <c r="B747" s="3">
        <v>46210</v>
      </c>
      <c r="C747" s="2" t="s">
        <v>30</v>
      </c>
      <c r="D747" s="2" t="s">
        <v>33</v>
      </c>
    </row>
    <row r="748" spans="1:4" x14ac:dyDescent="0.35">
      <c r="A748" s="2" t="s">
        <v>167</v>
      </c>
      <c r="B748" s="3">
        <v>46280</v>
      </c>
      <c r="C748" s="2" t="s">
        <v>245</v>
      </c>
      <c r="D748" s="2" t="s">
        <v>33</v>
      </c>
    </row>
    <row r="749" spans="1:4" x14ac:dyDescent="0.35">
      <c r="A749" s="2" t="s">
        <v>167</v>
      </c>
      <c r="B749" s="3">
        <v>46224</v>
      </c>
      <c r="C749" s="2" t="s">
        <v>246</v>
      </c>
      <c r="D749" s="2" t="s">
        <v>33</v>
      </c>
    </row>
    <row r="750" spans="1:4" x14ac:dyDescent="0.35">
      <c r="A750" s="2" t="s">
        <v>167</v>
      </c>
      <c r="B750" s="3">
        <v>46204</v>
      </c>
      <c r="C750" s="2" t="s">
        <v>246</v>
      </c>
      <c r="D750" s="2" t="s">
        <v>33</v>
      </c>
    </row>
    <row r="751" spans="1:4" x14ac:dyDescent="0.35">
      <c r="A751" s="2" t="s">
        <v>167</v>
      </c>
      <c r="B751" s="3">
        <v>46248</v>
      </c>
      <c r="C751" s="2" t="s">
        <v>30</v>
      </c>
      <c r="D751" s="2" t="s">
        <v>33</v>
      </c>
    </row>
    <row r="752" spans="1:4" x14ac:dyDescent="0.35">
      <c r="A752" s="2" t="s">
        <v>167</v>
      </c>
      <c r="B752" s="3">
        <v>46290</v>
      </c>
      <c r="C752" s="2" t="s">
        <v>247</v>
      </c>
      <c r="D752" s="2" t="s">
        <v>33</v>
      </c>
    </row>
    <row r="753" spans="1:4" x14ac:dyDescent="0.35">
      <c r="A753" s="2" t="s">
        <v>167</v>
      </c>
      <c r="B753" s="3">
        <v>46251</v>
      </c>
      <c r="C753" s="2" t="s">
        <v>246</v>
      </c>
      <c r="D753" s="2" t="s">
        <v>33</v>
      </c>
    </row>
    <row r="754" spans="1:4" x14ac:dyDescent="0.35">
      <c r="A754" s="2" t="s">
        <v>167</v>
      </c>
      <c r="B754" s="3">
        <v>46218</v>
      </c>
      <c r="C754" s="2" t="s">
        <v>245</v>
      </c>
      <c r="D754" s="2" t="s">
        <v>33</v>
      </c>
    </row>
    <row r="755" spans="1:4" x14ac:dyDescent="0.35">
      <c r="A755" s="2" t="s">
        <v>167</v>
      </c>
      <c r="B755" s="3">
        <v>46217</v>
      </c>
      <c r="C755" s="2" t="s">
        <v>30</v>
      </c>
      <c r="D755" s="2" t="s">
        <v>33</v>
      </c>
    </row>
    <row r="756" spans="1:4" x14ac:dyDescent="0.35">
      <c r="A756" s="2" t="s">
        <v>167</v>
      </c>
      <c r="B756" s="3">
        <v>46234</v>
      </c>
      <c r="C756" s="2" t="s">
        <v>245</v>
      </c>
      <c r="D756" s="2" t="s">
        <v>33</v>
      </c>
    </row>
    <row r="757" spans="1:4" x14ac:dyDescent="0.35">
      <c r="A757" s="2" t="s">
        <v>167</v>
      </c>
      <c r="B757" s="3">
        <v>46261</v>
      </c>
      <c r="C757" s="2" t="s">
        <v>247</v>
      </c>
      <c r="D757" s="2" t="s">
        <v>33</v>
      </c>
    </row>
    <row r="758" spans="1:4" x14ac:dyDescent="0.35">
      <c r="A758" s="2" t="s">
        <v>169</v>
      </c>
      <c r="B758" s="3">
        <v>46282</v>
      </c>
      <c r="C758" s="2" t="s">
        <v>246</v>
      </c>
      <c r="D758" s="2" t="s">
        <v>37</v>
      </c>
    </row>
    <row r="759" spans="1:4" x14ac:dyDescent="0.35">
      <c r="A759" s="2" t="s">
        <v>169</v>
      </c>
      <c r="B759" s="3">
        <v>46262</v>
      </c>
      <c r="C759" s="2" t="s">
        <v>246</v>
      </c>
      <c r="D759" s="2" t="s">
        <v>37</v>
      </c>
    </row>
    <row r="760" spans="1:4" x14ac:dyDescent="0.35">
      <c r="A760" s="2" t="s">
        <v>169</v>
      </c>
      <c r="B760" s="3">
        <v>46206</v>
      </c>
      <c r="C760" s="2" t="s">
        <v>245</v>
      </c>
      <c r="D760" s="2" t="s">
        <v>37</v>
      </c>
    </row>
    <row r="761" spans="1:4" x14ac:dyDescent="0.35">
      <c r="A761" s="2" t="s">
        <v>169</v>
      </c>
      <c r="B761" s="3">
        <v>46289</v>
      </c>
      <c r="C761" s="2" t="s">
        <v>246</v>
      </c>
      <c r="D761" s="2" t="s">
        <v>37</v>
      </c>
    </row>
    <row r="762" spans="1:4" x14ac:dyDescent="0.35">
      <c r="A762" s="2" t="s">
        <v>169</v>
      </c>
      <c r="B762" s="3">
        <v>46260</v>
      </c>
      <c r="C762" s="2" t="s">
        <v>247</v>
      </c>
      <c r="D762" s="2" t="s">
        <v>37</v>
      </c>
    </row>
    <row r="763" spans="1:4" x14ac:dyDescent="0.35">
      <c r="A763" s="2" t="s">
        <v>169</v>
      </c>
      <c r="B763" s="3">
        <v>46211</v>
      </c>
      <c r="C763" s="2" t="s">
        <v>30</v>
      </c>
      <c r="D763" s="2" t="s">
        <v>37</v>
      </c>
    </row>
    <row r="764" spans="1:4" x14ac:dyDescent="0.35">
      <c r="A764" s="2" t="s">
        <v>169</v>
      </c>
      <c r="B764" s="3">
        <v>46290</v>
      </c>
      <c r="C764" s="2" t="s">
        <v>246</v>
      </c>
      <c r="D764" s="2" t="s">
        <v>37</v>
      </c>
    </row>
    <row r="765" spans="1:4" x14ac:dyDescent="0.35">
      <c r="A765" s="2" t="s">
        <v>169</v>
      </c>
      <c r="B765" s="3">
        <v>46255</v>
      </c>
      <c r="C765" s="2" t="s">
        <v>246</v>
      </c>
      <c r="D765" s="2" t="s">
        <v>37</v>
      </c>
    </row>
    <row r="766" spans="1:4" x14ac:dyDescent="0.35">
      <c r="A766" s="2" t="s">
        <v>169</v>
      </c>
      <c r="B766" s="3">
        <v>46268</v>
      </c>
      <c r="C766" s="2" t="s">
        <v>246</v>
      </c>
      <c r="D766" s="2" t="s">
        <v>37</v>
      </c>
    </row>
    <row r="767" spans="1:4" x14ac:dyDescent="0.35">
      <c r="A767" s="2" t="s">
        <v>169</v>
      </c>
      <c r="B767" s="3">
        <v>46280</v>
      </c>
      <c r="C767" s="2" t="s">
        <v>30</v>
      </c>
      <c r="D767" s="2" t="s">
        <v>37</v>
      </c>
    </row>
    <row r="768" spans="1:4" x14ac:dyDescent="0.35">
      <c r="A768" s="2" t="s">
        <v>169</v>
      </c>
      <c r="B768" s="3">
        <v>46233</v>
      </c>
      <c r="C768" s="2" t="s">
        <v>245</v>
      </c>
      <c r="D768" s="2" t="s">
        <v>37</v>
      </c>
    </row>
    <row r="769" spans="1:4" x14ac:dyDescent="0.35">
      <c r="A769" s="2" t="s">
        <v>169</v>
      </c>
      <c r="B769" s="3">
        <v>46247</v>
      </c>
      <c r="C769" s="2" t="s">
        <v>246</v>
      </c>
      <c r="D769" s="2" t="s">
        <v>37</v>
      </c>
    </row>
    <row r="770" spans="1:4" x14ac:dyDescent="0.35">
      <c r="A770" s="2" t="s">
        <v>171</v>
      </c>
      <c r="B770" s="3">
        <v>46212</v>
      </c>
      <c r="C770" s="2" t="s">
        <v>246</v>
      </c>
      <c r="D770" s="2" t="s">
        <v>22</v>
      </c>
    </row>
    <row r="771" spans="1:4" x14ac:dyDescent="0.35">
      <c r="A771" s="2" t="s">
        <v>171</v>
      </c>
      <c r="B771" s="3">
        <v>46239</v>
      </c>
      <c r="C771" s="2" t="s">
        <v>246</v>
      </c>
      <c r="D771" s="2" t="s">
        <v>22</v>
      </c>
    </row>
    <row r="772" spans="1:4" x14ac:dyDescent="0.35">
      <c r="A772" s="2" t="s">
        <v>171</v>
      </c>
      <c r="B772" s="3">
        <v>46245</v>
      </c>
      <c r="C772" s="2" t="s">
        <v>245</v>
      </c>
      <c r="D772" s="2" t="s">
        <v>22</v>
      </c>
    </row>
    <row r="773" spans="1:4" x14ac:dyDescent="0.35">
      <c r="A773" s="2" t="s">
        <v>171</v>
      </c>
      <c r="B773" s="3">
        <v>46282</v>
      </c>
      <c r="C773" s="2" t="s">
        <v>30</v>
      </c>
      <c r="D773" s="2" t="s">
        <v>22</v>
      </c>
    </row>
    <row r="774" spans="1:4" x14ac:dyDescent="0.35">
      <c r="A774" s="2" t="s">
        <v>171</v>
      </c>
      <c r="B774" s="3">
        <v>46281</v>
      </c>
      <c r="C774" s="2" t="s">
        <v>247</v>
      </c>
      <c r="D774" s="2" t="s">
        <v>22</v>
      </c>
    </row>
    <row r="775" spans="1:4" x14ac:dyDescent="0.35">
      <c r="A775" s="2" t="s">
        <v>171</v>
      </c>
      <c r="B775" s="3">
        <v>46227</v>
      </c>
      <c r="C775" s="2" t="s">
        <v>246</v>
      </c>
      <c r="D775" s="2" t="s">
        <v>22</v>
      </c>
    </row>
    <row r="776" spans="1:4" x14ac:dyDescent="0.35">
      <c r="A776" s="2" t="s">
        <v>171</v>
      </c>
      <c r="B776" s="3">
        <v>46224</v>
      </c>
      <c r="C776" s="2" t="s">
        <v>246</v>
      </c>
      <c r="D776" s="2" t="s">
        <v>22</v>
      </c>
    </row>
    <row r="777" spans="1:4" x14ac:dyDescent="0.35">
      <c r="A777" s="2" t="s">
        <v>171</v>
      </c>
      <c r="B777" s="3">
        <v>46295</v>
      </c>
      <c r="C777" s="2" t="s">
        <v>246</v>
      </c>
      <c r="D777" s="2" t="s">
        <v>22</v>
      </c>
    </row>
    <row r="778" spans="1:4" x14ac:dyDescent="0.35">
      <c r="A778" s="2" t="s">
        <v>171</v>
      </c>
      <c r="B778" s="3">
        <v>46283</v>
      </c>
      <c r="C778" s="2" t="s">
        <v>246</v>
      </c>
      <c r="D778" s="2" t="s">
        <v>22</v>
      </c>
    </row>
    <row r="779" spans="1:4" x14ac:dyDescent="0.35">
      <c r="A779" s="2" t="s">
        <v>171</v>
      </c>
      <c r="B779" s="3">
        <v>46204</v>
      </c>
      <c r="C779" s="2" t="s">
        <v>30</v>
      </c>
      <c r="D779" s="2" t="s">
        <v>22</v>
      </c>
    </row>
    <row r="780" spans="1:4" x14ac:dyDescent="0.35">
      <c r="A780" s="2" t="s">
        <v>171</v>
      </c>
      <c r="B780" s="3">
        <v>46268</v>
      </c>
      <c r="C780" s="2" t="s">
        <v>30</v>
      </c>
      <c r="D780" s="2" t="s">
        <v>22</v>
      </c>
    </row>
    <row r="781" spans="1:4" x14ac:dyDescent="0.35">
      <c r="A781" s="2" t="s">
        <v>171</v>
      </c>
      <c r="B781" s="3">
        <v>46267</v>
      </c>
      <c r="C781" s="2" t="s">
        <v>246</v>
      </c>
      <c r="D781" s="2" t="s">
        <v>22</v>
      </c>
    </row>
    <row r="782" spans="1:4" x14ac:dyDescent="0.35">
      <c r="A782" s="2" t="s">
        <v>173</v>
      </c>
      <c r="B782" s="3">
        <v>46280</v>
      </c>
      <c r="C782" s="2" t="s">
        <v>246</v>
      </c>
      <c r="D782" s="2" t="s">
        <v>41</v>
      </c>
    </row>
    <row r="783" spans="1:4" x14ac:dyDescent="0.35">
      <c r="A783" s="2" t="s">
        <v>173</v>
      </c>
      <c r="B783" s="3">
        <v>46216</v>
      </c>
      <c r="C783" s="2" t="s">
        <v>245</v>
      </c>
      <c r="D783" s="2" t="s">
        <v>41</v>
      </c>
    </row>
    <row r="784" spans="1:4" x14ac:dyDescent="0.35">
      <c r="A784" s="2" t="s">
        <v>173</v>
      </c>
      <c r="B784" s="3">
        <v>46289</v>
      </c>
      <c r="C784" s="2" t="s">
        <v>246</v>
      </c>
      <c r="D784" s="2" t="s">
        <v>41</v>
      </c>
    </row>
    <row r="785" spans="1:4" x14ac:dyDescent="0.35">
      <c r="A785" s="2" t="s">
        <v>173</v>
      </c>
      <c r="B785" s="3">
        <v>46213</v>
      </c>
      <c r="C785" s="2" t="s">
        <v>246</v>
      </c>
      <c r="D785" s="2" t="s">
        <v>41</v>
      </c>
    </row>
    <row r="786" spans="1:4" x14ac:dyDescent="0.35">
      <c r="A786" s="2" t="s">
        <v>173</v>
      </c>
      <c r="B786" s="3">
        <v>46220</v>
      </c>
      <c r="C786" s="2" t="s">
        <v>247</v>
      </c>
      <c r="D786" s="2" t="s">
        <v>41</v>
      </c>
    </row>
    <row r="787" spans="1:4" x14ac:dyDescent="0.35">
      <c r="A787" s="2" t="s">
        <v>173</v>
      </c>
      <c r="B787" s="3">
        <v>46275</v>
      </c>
      <c r="C787" s="2" t="s">
        <v>247</v>
      </c>
      <c r="D787" s="2" t="s">
        <v>41</v>
      </c>
    </row>
    <row r="788" spans="1:4" x14ac:dyDescent="0.35">
      <c r="A788" s="2" t="s">
        <v>173</v>
      </c>
      <c r="B788" s="3">
        <v>46267</v>
      </c>
      <c r="C788" s="2" t="s">
        <v>246</v>
      </c>
      <c r="D788" s="2" t="s">
        <v>41</v>
      </c>
    </row>
    <row r="789" spans="1:4" x14ac:dyDescent="0.35">
      <c r="A789" s="2" t="s">
        <v>173</v>
      </c>
      <c r="B789" s="3">
        <v>46288</v>
      </c>
      <c r="C789" s="2" t="s">
        <v>247</v>
      </c>
      <c r="D789" s="2" t="s">
        <v>41</v>
      </c>
    </row>
    <row r="790" spans="1:4" x14ac:dyDescent="0.35">
      <c r="A790" s="2" t="s">
        <v>173</v>
      </c>
      <c r="B790" s="3">
        <v>46227</v>
      </c>
      <c r="C790" s="2" t="s">
        <v>247</v>
      </c>
      <c r="D790" s="2" t="s">
        <v>41</v>
      </c>
    </row>
    <row r="791" spans="1:4" x14ac:dyDescent="0.35">
      <c r="A791" s="2" t="s">
        <v>173</v>
      </c>
      <c r="B791" s="3">
        <v>46253</v>
      </c>
      <c r="C791" s="2" t="s">
        <v>247</v>
      </c>
      <c r="D791" s="2" t="s">
        <v>41</v>
      </c>
    </row>
    <row r="792" spans="1:4" x14ac:dyDescent="0.35">
      <c r="A792" s="2" t="s">
        <v>173</v>
      </c>
      <c r="B792" s="3">
        <v>46281</v>
      </c>
      <c r="C792" s="2" t="s">
        <v>246</v>
      </c>
      <c r="D792" s="2" t="s">
        <v>41</v>
      </c>
    </row>
    <row r="793" spans="1:4" x14ac:dyDescent="0.35">
      <c r="A793" s="2" t="s">
        <v>173</v>
      </c>
      <c r="B793" s="3">
        <v>46290</v>
      </c>
      <c r="C793" s="2" t="s">
        <v>247</v>
      </c>
      <c r="D793" s="2" t="s">
        <v>41</v>
      </c>
    </row>
    <row r="794" spans="1:4" x14ac:dyDescent="0.35">
      <c r="A794" s="2" t="s">
        <v>175</v>
      </c>
      <c r="B794" s="3">
        <v>46212</v>
      </c>
      <c r="C794" s="2" t="s">
        <v>246</v>
      </c>
      <c r="D794" s="2" t="s">
        <v>37</v>
      </c>
    </row>
    <row r="795" spans="1:4" x14ac:dyDescent="0.35">
      <c r="A795" s="2" t="s">
        <v>175</v>
      </c>
      <c r="B795" s="3">
        <v>46217</v>
      </c>
      <c r="C795" s="2" t="s">
        <v>246</v>
      </c>
      <c r="D795" s="2" t="s">
        <v>37</v>
      </c>
    </row>
    <row r="796" spans="1:4" x14ac:dyDescent="0.35">
      <c r="A796" s="2" t="s">
        <v>175</v>
      </c>
      <c r="B796" s="3">
        <v>46261</v>
      </c>
      <c r="C796" s="2" t="s">
        <v>246</v>
      </c>
      <c r="D796" s="2" t="s">
        <v>37</v>
      </c>
    </row>
    <row r="797" spans="1:4" x14ac:dyDescent="0.35">
      <c r="A797" s="2" t="s">
        <v>175</v>
      </c>
      <c r="B797" s="3">
        <v>46294</v>
      </c>
      <c r="C797" s="2" t="s">
        <v>247</v>
      </c>
      <c r="D797" s="2" t="s">
        <v>37</v>
      </c>
    </row>
    <row r="798" spans="1:4" x14ac:dyDescent="0.35">
      <c r="A798" s="2" t="s">
        <v>175</v>
      </c>
      <c r="B798" s="3">
        <v>46272</v>
      </c>
      <c r="C798" s="2" t="s">
        <v>246</v>
      </c>
      <c r="D798" s="2" t="s">
        <v>37</v>
      </c>
    </row>
    <row r="799" spans="1:4" x14ac:dyDescent="0.35">
      <c r="A799" s="2" t="s">
        <v>175</v>
      </c>
      <c r="B799" s="3">
        <v>46209</v>
      </c>
      <c r="C799" s="2" t="s">
        <v>245</v>
      </c>
      <c r="D799" s="2" t="s">
        <v>37</v>
      </c>
    </row>
    <row r="800" spans="1:4" x14ac:dyDescent="0.35">
      <c r="A800" s="2" t="s">
        <v>175</v>
      </c>
      <c r="B800" s="3">
        <v>46240</v>
      </c>
      <c r="C800" s="2" t="s">
        <v>30</v>
      </c>
      <c r="D800" s="2" t="s">
        <v>37</v>
      </c>
    </row>
    <row r="801" spans="1:4" x14ac:dyDescent="0.35">
      <c r="A801" s="2" t="s">
        <v>175</v>
      </c>
      <c r="B801" s="3">
        <v>46231</v>
      </c>
      <c r="C801" s="2" t="s">
        <v>30</v>
      </c>
      <c r="D801" s="2" t="s">
        <v>37</v>
      </c>
    </row>
    <row r="802" spans="1:4" x14ac:dyDescent="0.35">
      <c r="A802" s="2" t="s">
        <v>175</v>
      </c>
      <c r="B802" s="3">
        <v>46210</v>
      </c>
      <c r="C802" s="2" t="s">
        <v>246</v>
      </c>
      <c r="D802" s="2" t="s">
        <v>37</v>
      </c>
    </row>
    <row r="803" spans="1:4" x14ac:dyDescent="0.35">
      <c r="A803" s="2" t="s">
        <v>175</v>
      </c>
      <c r="B803" s="3">
        <v>46269</v>
      </c>
      <c r="C803" s="2" t="s">
        <v>246</v>
      </c>
      <c r="D803" s="2" t="s">
        <v>37</v>
      </c>
    </row>
    <row r="804" spans="1:4" x14ac:dyDescent="0.35">
      <c r="A804" s="2" t="s">
        <v>175</v>
      </c>
      <c r="B804" s="3">
        <v>46295</v>
      </c>
      <c r="C804" s="2" t="s">
        <v>246</v>
      </c>
      <c r="D804" s="2" t="s">
        <v>37</v>
      </c>
    </row>
    <row r="805" spans="1:4" x14ac:dyDescent="0.35">
      <c r="A805" s="2" t="s">
        <v>175</v>
      </c>
      <c r="B805" s="3">
        <v>46230</v>
      </c>
      <c r="C805" s="2" t="s">
        <v>245</v>
      </c>
      <c r="D805" s="2" t="s">
        <v>37</v>
      </c>
    </row>
    <row r="806" spans="1:4" x14ac:dyDescent="0.35">
      <c r="A806" s="2" t="s">
        <v>177</v>
      </c>
      <c r="B806" s="3">
        <v>46260</v>
      </c>
      <c r="C806" s="2" t="s">
        <v>247</v>
      </c>
      <c r="D806" s="2" t="s">
        <v>22</v>
      </c>
    </row>
    <row r="807" spans="1:4" x14ac:dyDescent="0.35">
      <c r="A807" s="2" t="s">
        <v>177</v>
      </c>
      <c r="B807" s="3">
        <v>46217</v>
      </c>
      <c r="C807" s="2" t="s">
        <v>247</v>
      </c>
      <c r="D807" s="2" t="s">
        <v>22</v>
      </c>
    </row>
    <row r="808" spans="1:4" x14ac:dyDescent="0.35">
      <c r="A808" s="2" t="s">
        <v>177</v>
      </c>
      <c r="B808" s="3">
        <v>46246</v>
      </c>
      <c r="C808" s="2" t="s">
        <v>247</v>
      </c>
      <c r="D808" s="2" t="s">
        <v>22</v>
      </c>
    </row>
    <row r="809" spans="1:4" x14ac:dyDescent="0.35">
      <c r="A809" s="2" t="s">
        <v>177</v>
      </c>
      <c r="B809" s="3">
        <v>46210</v>
      </c>
      <c r="C809" s="2" t="s">
        <v>245</v>
      </c>
      <c r="D809" s="2" t="s">
        <v>22</v>
      </c>
    </row>
    <row r="810" spans="1:4" x14ac:dyDescent="0.35">
      <c r="A810" s="2" t="s">
        <v>177</v>
      </c>
      <c r="B810" s="3">
        <v>46273</v>
      </c>
      <c r="C810" s="2" t="s">
        <v>246</v>
      </c>
      <c r="D810" s="2" t="s">
        <v>22</v>
      </c>
    </row>
    <row r="811" spans="1:4" x14ac:dyDescent="0.35">
      <c r="A811" s="2" t="s">
        <v>177</v>
      </c>
      <c r="B811" s="3">
        <v>46255</v>
      </c>
      <c r="C811" s="2" t="s">
        <v>246</v>
      </c>
      <c r="D811" s="2" t="s">
        <v>22</v>
      </c>
    </row>
    <row r="812" spans="1:4" x14ac:dyDescent="0.35">
      <c r="A812" s="2" t="s">
        <v>177</v>
      </c>
      <c r="B812" s="3">
        <v>46274</v>
      </c>
      <c r="C812" s="2" t="s">
        <v>30</v>
      </c>
      <c r="D812" s="2" t="s">
        <v>22</v>
      </c>
    </row>
    <row r="813" spans="1:4" x14ac:dyDescent="0.35">
      <c r="A813" s="2" t="s">
        <v>177</v>
      </c>
      <c r="B813" s="3">
        <v>46219</v>
      </c>
      <c r="C813" s="2" t="s">
        <v>247</v>
      </c>
      <c r="D813" s="2" t="s">
        <v>22</v>
      </c>
    </row>
    <row r="814" spans="1:4" x14ac:dyDescent="0.35">
      <c r="A814" s="2" t="s">
        <v>177</v>
      </c>
      <c r="B814" s="3">
        <v>46227</v>
      </c>
      <c r="C814" s="2" t="s">
        <v>247</v>
      </c>
      <c r="D814" s="2" t="s">
        <v>22</v>
      </c>
    </row>
    <row r="815" spans="1:4" x14ac:dyDescent="0.35">
      <c r="A815" s="2" t="s">
        <v>177</v>
      </c>
      <c r="B815" s="3">
        <v>46244</v>
      </c>
      <c r="C815" s="2" t="s">
        <v>30</v>
      </c>
      <c r="D815" s="2" t="s">
        <v>22</v>
      </c>
    </row>
    <row r="816" spans="1:4" x14ac:dyDescent="0.35">
      <c r="A816" s="2" t="s">
        <v>177</v>
      </c>
      <c r="B816" s="3">
        <v>46234</v>
      </c>
      <c r="C816" s="2" t="s">
        <v>30</v>
      </c>
      <c r="D816" s="2" t="s">
        <v>22</v>
      </c>
    </row>
    <row r="817" spans="1:4" x14ac:dyDescent="0.35">
      <c r="A817" s="2" t="s">
        <v>177</v>
      </c>
      <c r="B817" s="3">
        <v>46266</v>
      </c>
      <c r="C817" s="2" t="s">
        <v>246</v>
      </c>
      <c r="D817" s="2" t="s">
        <v>22</v>
      </c>
    </row>
    <row r="818" spans="1:4" x14ac:dyDescent="0.35">
      <c r="A818" s="2" t="s">
        <v>179</v>
      </c>
      <c r="B818" s="3">
        <v>46253</v>
      </c>
      <c r="C818" s="2" t="s">
        <v>246</v>
      </c>
      <c r="D818" s="2" t="s">
        <v>11</v>
      </c>
    </row>
    <row r="819" spans="1:4" x14ac:dyDescent="0.35">
      <c r="A819" s="2" t="s">
        <v>179</v>
      </c>
      <c r="B819" s="3">
        <v>46246</v>
      </c>
      <c r="C819" s="2" t="s">
        <v>30</v>
      </c>
      <c r="D819" s="2" t="s">
        <v>11</v>
      </c>
    </row>
    <row r="820" spans="1:4" x14ac:dyDescent="0.35">
      <c r="A820" s="2" t="s">
        <v>179</v>
      </c>
      <c r="B820" s="3">
        <v>46213</v>
      </c>
      <c r="C820" s="2" t="s">
        <v>246</v>
      </c>
      <c r="D820" s="2" t="s">
        <v>11</v>
      </c>
    </row>
    <row r="821" spans="1:4" x14ac:dyDescent="0.35">
      <c r="A821" s="2" t="s">
        <v>179</v>
      </c>
      <c r="B821" s="3">
        <v>46287</v>
      </c>
      <c r="C821" s="2" t="s">
        <v>30</v>
      </c>
      <c r="D821" s="2" t="s">
        <v>11</v>
      </c>
    </row>
    <row r="822" spans="1:4" x14ac:dyDescent="0.35">
      <c r="A822" s="2" t="s">
        <v>179</v>
      </c>
      <c r="B822" s="3">
        <v>46232</v>
      </c>
      <c r="C822" s="2" t="s">
        <v>246</v>
      </c>
      <c r="D822" s="2" t="s">
        <v>11</v>
      </c>
    </row>
    <row r="823" spans="1:4" x14ac:dyDescent="0.35">
      <c r="A823" s="2" t="s">
        <v>179</v>
      </c>
      <c r="B823" s="3">
        <v>46244</v>
      </c>
      <c r="C823" s="2" t="s">
        <v>246</v>
      </c>
      <c r="D823" s="2" t="s">
        <v>11</v>
      </c>
    </row>
    <row r="824" spans="1:4" x14ac:dyDescent="0.35">
      <c r="A824" s="2" t="s">
        <v>179</v>
      </c>
      <c r="B824" s="3">
        <v>46205</v>
      </c>
      <c r="C824" s="2" t="s">
        <v>30</v>
      </c>
      <c r="D824" s="2" t="s">
        <v>11</v>
      </c>
    </row>
    <row r="825" spans="1:4" x14ac:dyDescent="0.35">
      <c r="A825" s="2" t="s">
        <v>179</v>
      </c>
      <c r="B825" s="3">
        <v>46241</v>
      </c>
      <c r="C825" s="2" t="s">
        <v>246</v>
      </c>
      <c r="D825" s="2" t="s">
        <v>11</v>
      </c>
    </row>
    <row r="826" spans="1:4" x14ac:dyDescent="0.35">
      <c r="A826" s="2" t="s">
        <v>179</v>
      </c>
      <c r="B826" s="3">
        <v>46286</v>
      </c>
      <c r="C826" s="2" t="s">
        <v>245</v>
      </c>
      <c r="D826" s="2" t="s">
        <v>11</v>
      </c>
    </row>
    <row r="827" spans="1:4" x14ac:dyDescent="0.35">
      <c r="A827" s="2" t="s">
        <v>179</v>
      </c>
      <c r="B827" s="3">
        <v>46245</v>
      </c>
      <c r="C827" s="2" t="s">
        <v>246</v>
      </c>
      <c r="D827" s="2" t="s">
        <v>11</v>
      </c>
    </row>
    <row r="828" spans="1:4" x14ac:dyDescent="0.35">
      <c r="A828" s="2" t="s">
        <v>179</v>
      </c>
      <c r="B828" s="3">
        <v>46268</v>
      </c>
      <c r="C828" s="2" t="s">
        <v>246</v>
      </c>
      <c r="D828" s="2" t="s">
        <v>11</v>
      </c>
    </row>
    <row r="829" spans="1:4" x14ac:dyDescent="0.35">
      <c r="A829" s="2" t="s">
        <v>179</v>
      </c>
      <c r="B829" s="3">
        <v>46258</v>
      </c>
      <c r="C829" s="2" t="s">
        <v>246</v>
      </c>
      <c r="D829" s="2" t="s">
        <v>11</v>
      </c>
    </row>
    <row r="830" spans="1:4" x14ac:dyDescent="0.35">
      <c r="A830" s="2" t="s">
        <v>181</v>
      </c>
      <c r="B830" s="3">
        <v>46255</v>
      </c>
      <c r="C830" s="2" t="s">
        <v>245</v>
      </c>
      <c r="D830" s="2" t="s">
        <v>41</v>
      </c>
    </row>
    <row r="831" spans="1:4" x14ac:dyDescent="0.35">
      <c r="A831" s="2" t="s">
        <v>181</v>
      </c>
      <c r="B831" s="3">
        <v>46206</v>
      </c>
      <c r="C831" s="2" t="s">
        <v>30</v>
      </c>
      <c r="D831" s="2" t="s">
        <v>41</v>
      </c>
    </row>
    <row r="832" spans="1:4" x14ac:dyDescent="0.35">
      <c r="A832" s="2" t="s">
        <v>181</v>
      </c>
      <c r="B832" s="3">
        <v>46245</v>
      </c>
      <c r="C832" s="2" t="s">
        <v>245</v>
      </c>
      <c r="D832" s="2" t="s">
        <v>41</v>
      </c>
    </row>
    <row r="833" spans="1:4" x14ac:dyDescent="0.35">
      <c r="A833" s="2" t="s">
        <v>181</v>
      </c>
      <c r="B833" s="3">
        <v>46204</v>
      </c>
      <c r="C833" s="2" t="s">
        <v>246</v>
      </c>
      <c r="D833" s="2" t="s">
        <v>41</v>
      </c>
    </row>
    <row r="834" spans="1:4" x14ac:dyDescent="0.35">
      <c r="A834" s="2" t="s">
        <v>181</v>
      </c>
      <c r="B834" s="3">
        <v>46231</v>
      </c>
      <c r="C834" s="2" t="s">
        <v>247</v>
      </c>
      <c r="D834" s="2" t="s">
        <v>41</v>
      </c>
    </row>
    <row r="835" spans="1:4" x14ac:dyDescent="0.35">
      <c r="A835" s="2" t="s">
        <v>181</v>
      </c>
      <c r="B835" s="3">
        <v>46216</v>
      </c>
      <c r="C835" s="2" t="s">
        <v>246</v>
      </c>
      <c r="D835" s="2" t="s">
        <v>41</v>
      </c>
    </row>
    <row r="836" spans="1:4" x14ac:dyDescent="0.35">
      <c r="A836" s="2" t="s">
        <v>181</v>
      </c>
      <c r="B836" s="3">
        <v>46293</v>
      </c>
      <c r="C836" s="2" t="s">
        <v>247</v>
      </c>
      <c r="D836" s="2" t="s">
        <v>41</v>
      </c>
    </row>
    <row r="837" spans="1:4" x14ac:dyDescent="0.35">
      <c r="A837" s="2" t="s">
        <v>181</v>
      </c>
      <c r="B837" s="3">
        <v>46241</v>
      </c>
      <c r="C837" s="2" t="s">
        <v>247</v>
      </c>
      <c r="D837" s="2" t="s">
        <v>41</v>
      </c>
    </row>
    <row r="838" spans="1:4" x14ac:dyDescent="0.35">
      <c r="A838" s="2" t="s">
        <v>181</v>
      </c>
      <c r="B838" s="3">
        <v>46237</v>
      </c>
      <c r="C838" s="2" t="s">
        <v>246</v>
      </c>
      <c r="D838" s="2" t="s">
        <v>41</v>
      </c>
    </row>
    <row r="839" spans="1:4" x14ac:dyDescent="0.35">
      <c r="A839" s="2" t="s">
        <v>181</v>
      </c>
      <c r="B839" s="3">
        <v>46217</v>
      </c>
      <c r="C839" s="2" t="s">
        <v>245</v>
      </c>
      <c r="D839" s="2" t="s">
        <v>41</v>
      </c>
    </row>
    <row r="840" spans="1:4" x14ac:dyDescent="0.35">
      <c r="A840" s="2" t="s">
        <v>181</v>
      </c>
      <c r="B840" s="3">
        <v>46247</v>
      </c>
      <c r="C840" s="2" t="s">
        <v>247</v>
      </c>
      <c r="D840" s="2" t="s">
        <v>41</v>
      </c>
    </row>
    <row r="841" spans="1:4" x14ac:dyDescent="0.35">
      <c r="A841" s="2" t="s">
        <v>181</v>
      </c>
      <c r="B841" s="3">
        <v>46230</v>
      </c>
      <c r="C841" s="2" t="s">
        <v>245</v>
      </c>
      <c r="D841" s="2" t="s">
        <v>41</v>
      </c>
    </row>
    <row r="842" spans="1:4" x14ac:dyDescent="0.35">
      <c r="A842" s="2" t="s">
        <v>183</v>
      </c>
      <c r="B842" s="3">
        <v>46204</v>
      </c>
      <c r="C842" s="2" t="s">
        <v>245</v>
      </c>
      <c r="D842" s="2" t="s">
        <v>37</v>
      </c>
    </row>
    <row r="843" spans="1:4" x14ac:dyDescent="0.35">
      <c r="A843" s="2" t="s">
        <v>183</v>
      </c>
      <c r="B843" s="3">
        <v>46259</v>
      </c>
      <c r="C843" s="2" t="s">
        <v>246</v>
      </c>
      <c r="D843" s="2" t="s">
        <v>37</v>
      </c>
    </row>
    <row r="844" spans="1:4" x14ac:dyDescent="0.35">
      <c r="A844" s="2" t="s">
        <v>183</v>
      </c>
      <c r="B844" s="3">
        <v>46237</v>
      </c>
      <c r="C844" s="2" t="s">
        <v>30</v>
      </c>
      <c r="D844" s="2" t="s">
        <v>37</v>
      </c>
    </row>
    <row r="845" spans="1:4" x14ac:dyDescent="0.35">
      <c r="A845" s="2" t="s">
        <v>183</v>
      </c>
      <c r="B845" s="3">
        <v>46274</v>
      </c>
      <c r="C845" s="2" t="s">
        <v>247</v>
      </c>
      <c r="D845" s="2" t="s">
        <v>37</v>
      </c>
    </row>
    <row r="846" spans="1:4" x14ac:dyDescent="0.35">
      <c r="A846" s="2" t="s">
        <v>183</v>
      </c>
      <c r="B846" s="3">
        <v>46226</v>
      </c>
      <c r="C846" s="2" t="s">
        <v>246</v>
      </c>
      <c r="D846" s="2" t="s">
        <v>37</v>
      </c>
    </row>
    <row r="847" spans="1:4" x14ac:dyDescent="0.35">
      <c r="A847" s="2" t="s">
        <v>183</v>
      </c>
      <c r="B847" s="3">
        <v>46272</v>
      </c>
      <c r="C847" s="2" t="s">
        <v>246</v>
      </c>
      <c r="D847" s="2" t="s">
        <v>37</v>
      </c>
    </row>
    <row r="848" spans="1:4" x14ac:dyDescent="0.35">
      <c r="A848" s="2" t="s">
        <v>183</v>
      </c>
      <c r="B848" s="3">
        <v>46246</v>
      </c>
      <c r="C848" s="2" t="s">
        <v>246</v>
      </c>
      <c r="D848" s="2" t="s">
        <v>37</v>
      </c>
    </row>
    <row r="849" spans="1:4" x14ac:dyDescent="0.35">
      <c r="A849" s="2" t="s">
        <v>183</v>
      </c>
      <c r="B849" s="3">
        <v>46213</v>
      </c>
      <c r="C849" s="2" t="s">
        <v>247</v>
      </c>
      <c r="D849" s="2" t="s">
        <v>37</v>
      </c>
    </row>
    <row r="850" spans="1:4" x14ac:dyDescent="0.35">
      <c r="A850" s="2" t="s">
        <v>183</v>
      </c>
      <c r="B850" s="3">
        <v>46269</v>
      </c>
      <c r="C850" s="2" t="s">
        <v>245</v>
      </c>
      <c r="D850" s="2" t="s">
        <v>37</v>
      </c>
    </row>
    <row r="851" spans="1:4" x14ac:dyDescent="0.35">
      <c r="A851" s="2" t="s">
        <v>183</v>
      </c>
      <c r="B851" s="3">
        <v>46240</v>
      </c>
      <c r="C851" s="2" t="s">
        <v>246</v>
      </c>
      <c r="D851" s="2" t="s">
        <v>37</v>
      </c>
    </row>
    <row r="852" spans="1:4" x14ac:dyDescent="0.35">
      <c r="A852" s="2" t="s">
        <v>183</v>
      </c>
      <c r="B852" s="3">
        <v>46241</v>
      </c>
      <c r="C852" s="2" t="s">
        <v>246</v>
      </c>
      <c r="D852" s="2" t="s">
        <v>37</v>
      </c>
    </row>
    <row r="853" spans="1:4" x14ac:dyDescent="0.35">
      <c r="A853" s="2" t="s">
        <v>183</v>
      </c>
      <c r="B853" s="3">
        <v>46282</v>
      </c>
      <c r="C853" s="2" t="s">
        <v>245</v>
      </c>
      <c r="D853" s="2" t="s">
        <v>37</v>
      </c>
    </row>
    <row r="854" spans="1:4" x14ac:dyDescent="0.35">
      <c r="A854" s="2" t="s">
        <v>185</v>
      </c>
      <c r="B854" s="3">
        <v>46279</v>
      </c>
      <c r="C854" s="2" t="s">
        <v>246</v>
      </c>
      <c r="D854" s="2" t="s">
        <v>37</v>
      </c>
    </row>
    <row r="855" spans="1:4" x14ac:dyDescent="0.35">
      <c r="A855" s="2" t="s">
        <v>185</v>
      </c>
      <c r="B855" s="3">
        <v>46288</v>
      </c>
      <c r="C855" s="2" t="s">
        <v>245</v>
      </c>
      <c r="D855" s="2" t="s">
        <v>37</v>
      </c>
    </row>
    <row r="856" spans="1:4" x14ac:dyDescent="0.35">
      <c r="A856" s="2" t="s">
        <v>185</v>
      </c>
      <c r="B856" s="3">
        <v>46211</v>
      </c>
      <c r="C856" s="2" t="s">
        <v>245</v>
      </c>
      <c r="D856" s="2" t="s">
        <v>37</v>
      </c>
    </row>
    <row r="857" spans="1:4" x14ac:dyDescent="0.35">
      <c r="A857" s="2" t="s">
        <v>185</v>
      </c>
      <c r="B857" s="3">
        <v>46269</v>
      </c>
      <c r="C857" s="2" t="s">
        <v>30</v>
      </c>
      <c r="D857" s="2" t="s">
        <v>37</v>
      </c>
    </row>
    <row r="858" spans="1:4" x14ac:dyDescent="0.35">
      <c r="A858" s="2" t="s">
        <v>185</v>
      </c>
      <c r="B858" s="3">
        <v>46282</v>
      </c>
      <c r="C858" s="2" t="s">
        <v>246</v>
      </c>
      <c r="D858" s="2" t="s">
        <v>37</v>
      </c>
    </row>
    <row r="859" spans="1:4" x14ac:dyDescent="0.35">
      <c r="A859" s="2" t="s">
        <v>185</v>
      </c>
      <c r="B859" s="3">
        <v>46280</v>
      </c>
      <c r="C859" s="2" t="s">
        <v>246</v>
      </c>
      <c r="D859" s="2" t="s">
        <v>37</v>
      </c>
    </row>
    <row r="860" spans="1:4" x14ac:dyDescent="0.35">
      <c r="A860" s="2" t="s">
        <v>185</v>
      </c>
      <c r="B860" s="3">
        <v>46204</v>
      </c>
      <c r="C860" s="2" t="s">
        <v>246</v>
      </c>
      <c r="D860" s="2" t="s">
        <v>37</v>
      </c>
    </row>
    <row r="861" spans="1:4" x14ac:dyDescent="0.35">
      <c r="A861" s="2" t="s">
        <v>185</v>
      </c>
      <c r="B861" s="3">
        <v>46234</v>
      </c>
      <c r="C861" s="2" t="s">
        <v>30</v>
      </c>
      <c r="D861" s="2" t="s">
        <v>37</v>
      </c>
    </row>
    <row r="862" spans="1:4" x14ac:dyDescent="0.35">
      <c r="A862" s="2" t="s">
        <v>185</v>
      </c>
      <c r="B862" s="3">
        <v>46274</v>
      </c>
      <c r="C862" s="2" t="s">
        <v>246</v>
      </c>
      <c r="D862" s="2" t="s">
        <v>37</v>
      </c>
    </row>
    <row r="863" spans="1:4" x14ac:dyDescent="0.35">
      <c r="A863" s="2" t="s">
        <v>185</v>
      </c>
      <c r="B863" s="3">
        <v>46223</v>
      </c>
      <c r="C863" s="2" t="s">
        <v>247</v>
      </c>
      <c r="D863" s="2" t="s">
        <v>37</v>
      </c>
    </row>
    <row r="864" spans="1:4" x14ac:dyDescent="0.35">
      <c r="A864" s="2" t="s">
        <v>185</v>
      </c>
      <c r="B864" s="3">
        <v>46213</v>
      </c>
      <c r="C864" s="2" t="s">
        <v>245</v>
      </c>
      <c r="D864" s="2" t="s">
        <v>37</v>
      </c>
    </row>
    <row r="865" spans="1:4" x14ac:dyDescent="0.35">
      <c r="A865" s="2" t="s">
        <v>185</v>
      </c>
      <c r="B865" s="3">
        <v>46267</v>
      </c>
      <c r="C865" s="2" t="s">
        <v>247</v>
      </c>
      <c r="D865" s="2" t="s">
        <v>37</v>
      </c>
    </row>
    <row r="866" spans="1:4" x14ac:dyDescent="0.35">
      <c r="A866" s="2" t="s">
        <v>187</v>
      </c>
      <c r="B866" s="3">
        <v>46272</v>
      </c>
      <c r="C866" s="2" t="s">
        <v>246</v>
      </c>
      <c r="D866" s="2" t="s">
        <v>17</v>
      </c>
    </row>
    <row r="867" spans="1:4" x14ac:dyDescent="0.35">
      <c r="A867" s="2" t="s">
        <v>187</v>
      </c>
      <c r="B867" s="3">
        <v>46218</v>
      </c>
      <c r="C867" s="2" t="s">
        <v>246</v>
      </c>
      <c r="D867" s="2" t="s">
        <v>17</v>
      </c>
    </row>
    <row r="868" spans="1:4" x14ac:dyDescent="0.35">
      <c r="A868" s="2" t="s">
        <v>187</v>
      </c>
      <c r="B868" s="3">
        <v>46290</v>
      </c>
      <c r="C868" s="2" t="s">
        <v>245</v>
      </c>
      <c r="D868" s="2" t="s">
        <v>17</v>
      </c>
    </row>
    <row r="869" spans="1:4" x14ac:dyDescent="0.35">
      <c r="A869" s="2" t="s">
        <v>187</v>
      </c>
      <c r="B869" s="3">
        <v>46283</v>
      </c>
      <c r="C869" s="2" t="s">
        <v>246</v>
      </c>
      <c r="D869" s="2" t="s">
        <v>17</v>
      </c>
    </row>
    <row r="870" spans="1:4" x14ac:dyDescent="0.35">
      <c r="A870" s="2" t="s">
        <v>187</v>
      </c>
      <c r="B870" s="3">
        <v>46259</v>
      </c>
      <c r="C870" s="2" t="s">
        <v>30</v>
      </c>
      <c r="D870" s="2" t="s">
        <v>17</v>
      </c>
    </row>
    <row r="871" spans="1:4" x14ac:dyDescent="0.35">
      <c r="A871" s="2" t="s">
        <v>187</v>
      </c>
      <c r="B871" s="3">
        <v>46245</v>
      </c>
      <c r="C871" s="2" t="s">
        <v>30</v>
      </c>
      <c r="D871" s="2" t="s">
        <v>17</v>
      </c>
    </row>
    <row r="872" spans="1:4" x14ac:dyDescent="0.35">
      <c r="A872" s="2" t="s">
        <v>187</v>
      </c>
      <c r="B872" s="3">
        <v>46258</v>
      </c>
      <c r="C872" s="2" t="s">
        <v>30</v>
      </c>
      <c r="D872" s="2" t="s">
        <v>17</v>
      </c>
    </row>
    <row r="873" spans="1:4" x14ac:dyDescent="0.35">
      <c r="A873" s="2" t="s">
        <v>187</v>
      </c>
      <c r="B873" s="3">
        <v>46246</v>
      </c>
      <c r="C873" s="2" t="s">
        <v>247</v>
      </c>
      <c r="D873" s="2" t="s">
        <v>17</v>
      </c>
    </row>
    <row r="874" spans="1:4" x14ac:dyDescent="0.35">
      <c r="A874" s="2" t="s">
        <v>187</v>
      </c>
      <c r="B874" s="3">
        <v>46260</v>
      </c>
      <c r="C874" s="2" t="s">
        <v>246</v>
      </c>
      <c r="D874" s="2" t="s">
        <v>17</v>
      </c>
    </row>
    <row r="875" spans="1:4" x14ac:dyDescent="0.35">
      <c r="A875" s="2" t="s">
        <v>187</v>
      </c>
      <c r="B875" s="3">
        <v>46262</v>
      </c>
      <c r="C875" s="2" t="s">
        <v>245</v>
      </c>
      <c r="D875" s="2" t="s">
        <v>17</v>
      </c>
    </row>
    <row r="876" spans="1:4" x14ac:dyDescent="0.35">
      <c r="A876" s="2" t="s">
        <v>187</v>
      </c>
      <c r="B876" s="3">
        <v>46281</v>
      </c>
      <c r="C876" s="2" t="s">
        <v>246</v>
      </c>
      <c r="D876" s="2" t="s">
        <v>17</v>
      </c>
    </row>
    <row r="877" spans="1:4" x14ac:dyDescent="0.35">
      <c r="A877" s="2" t="s">
        <v>187</v>
      </c>
      <c r="B877" s="3">
        <v>46205</v>
      </c>
      <c r="C877" s="2" t="s">
        <v>247</v>
      </c>
      <c r="D877" s="2" t="s">
        <v>17</v>
      </c>
    </row>
    <row r="878" spans="1:4" x14ac:dyDescent="0.35">
      <c r="A878" s="2" t="s">
        <v>189</v>
      </c>
      <c r="B878" s="3">
        <v>46227</v>
      </c>
      <c r="C878" s="2" t="s">
        <v>245</v>
      </c>
      <c r="D878" s="2" t="s">
        <v>22</v>
      </c>
    </row>
    <row r="879" spans="1:4" x14ac:dyDescent="0.35">
      <c r="A879" s="2" t="s">
        <v>189</v>
      </c>
      <c r="B879" s="3">
        <v>46241</v>
      </c>
      <c r="C879" s="2" t="s">
        <v>246</v>
      </c>
      <c r="D879" s="2" t="s">
        <v>22</v>
      </c>
    </row>
    <row r="880" spans="1:4" x14ac:dyDescent="0.35">
      <c r="A880" s="2" t="s">
        <v>189</v>
      </c>
      <c r="B880" s="3">
        <v>46223</v>
      </c>
      <c r="C880" s="2" t="s">
        <v>246</v>
      </c>
      <c r="D880" s="2" t="s">
        <v>22</v>
      </c>
    </row>
    <row r="881" spans="1:4" x14ac:dyDescent="0.35">
      <c r="A881" s="2" t="s">
        <v>189</v>
      </c>
      <c r="B881" s="3">
        <v>46253</v>
      </c>
      <c r="C881" s="2" t="s">
        <v>246</v>
      </c>
      <c r="D881" s="2" t="s">
        <v>22</v>
      </c>
    </row>
    <row r="882" spans="1:4" x14ac:dyDescent="0.35">
      <c r="A882" s="2" t="s">
        <v>189</v>
      </c>
      <c r="B882" s="3">
        <v>46217</v>
      </c>
      <c r="C882" s="2" t="s">
        <v>246</v>
      </c>
      <c r="D882" s="2" t="s">
        <v>22</v>
      </c>
    </row>
    <row r="883" spans="1:4" x14ac:dyDescent="0.35">
      <c r="A883" s="2" t="s">
        <v>189</v>
      </c>
      <c r="B883" s="3">
        <v>46283</v>
      </c>
      <c r="C883" s="2" t="s">
        <v>246</v>
      </c>
      <c r="D883" s="2" t="s">
        <v>22</v>
      </c>
    </row>
    <row r="884" spans="1:4" x14ac:dyDescent="0.35">
      <c r="A884" s="2" t="s">
        <v>189</v>
      </c>
      <c r="B884" s="3">
        <v>46274</v>
      </c>
      <c r="C884" s="2" t="s">
        <v>247</v>
      </c>
      <c r="D884" s="2" t="s">
        <v>22</v>
      </c>
    </row>
    <row r="885" spans="1:4" x14ac:dyDescent="0.35">
      <c r="A885" s="2" t="s">
        <v>189</v>
      </c>
      <c r="B885" s="3">
        <v>46254</v>
      </c>
      <c r="C885" s="2" t="s">
        <v>245</v>
      </c>
      <c r="D885" s="2" t="s">
        <v>22</v>
      </c>
    </row>
    <row r="886" spans="1:4" x14ac:dyDescent="0.35">
      <c r="A886" s="2" t="s">
        <v>189</v>
      </c>
      <c r="B886" s="3">
        <v>46232</v>
      </c>
      <c r="C886" s="2" t="s">
        <v>246</v>
      </c>
      <c r="D886" s="2" t="s">
        <v>22</v>
      </c>
    </row>
    <row r="887" spans="1:4" x14ac:dyDescent="0.35">
      <c r="A887" s="2" t="s">
        <v>189</v>
      </c>
      <c r="B887" s="3">
        <v>46293</v>
      </c>
      <c r="C887" s="2" t="s">
        <v>245</v>
      </c>
      <c r="D887" s="2" t="s">
        <v>22</v>
      </c>
    </row>
    <row r="888" spans="1:4" x14ac:dyDescent="0.35">
      <c r="A888" s="2" t="s">
        <v>189</v>
      </c>
      <c r="B888" s="3">
        <v>46275</v>
      </c>
      <c r="C888" s="2" t="s">
        <v>246</v>
      </c>
      <c r="D888" s="2" t="s">
        <v>22</v>
      </c>
    </row>
    <row r="889" spans="1:4" x14ac:dyDescent="0.35">
      <c r="A889" s="2" t="s">
        <v>189</v>
      </c>
      <c r="B889" s="3">
        <v>46267</v>
      </c>
      <c r="C889" s="2" t="s">
        <v>246</v>
      </c>
      <c r="D889" s="2" t="s">
        <v>22</v>
      </c>
    </row>
    <row r="890" spans="1:4" x14ac:dyDescent="0.35">
      <c r="A890" s="2" t="s">
        <v>191</v>
      </c>
      <c r="B890" s="3">
        <v>46210</v>
      </c>
      <c r="C890" s="2" t="s">
        <v>30</v>
      </c>
      <c r="D890" s="2" t="s">
        <v>41</v>
      </c>
    </row>
    <row r="891" spans="1:4" x14ac:dyDescent="0.35">
      <c r="A891" s="2" t="s">
        <v>191</v>
      </c>
      <c r="B891" s="3">
        <v>46205</v>
      </c>
      <c r="C891" s="2" t="s">
        <v>30</v>
      </c>
      <c r="D891" s="2" t="s">
        <v>41</v>
      </c>
    </row>
    <row r="892" spans="1:4" x14ac:dyDescent="0.35">
      <c r="A892" s="2" t="s">
        <v>191</v>
      </c>
      <c r="B892" s="3">
        <v>46254</v>
      </c>
      <c r="C892" s="2" t="s">
        <v>245</v>
      </c>
      <c r="D892" s="2" t="s">
        <v>41</v>
      </c>
    </row>
    <row r="893" spans="1:4" x14ac:dyDescent="0.35">
      <c r="A893" s="2" t="s">
        <v>191</v>
      </c>
      <c r="B893" s="3">
        <v>46232</v>
      </c>
      <c r="C893" s="2" t="s">
        <v>247</v>
      </c>
      <c r="D893" s="2" t="s">
        <v>41</v>
      </c>
    </row>
    <row r="894" spans="1:4" x14ac:dyDescent="0.35">
      <c r="A894" s="2" t="s">
        <v>191</v>
      </c>
      <c r="B894" s="3">
        <v>46227</v>
      </c>
      <c r="C894" s="2" t="s">
        <v>247</v>
      </c>
      <c r="D894" s="2" t="s">
        <v>41</v>
      </c>
    </row>
    <row r="895" spans="1:4" x14ac:dyDescent="0.35">
      <c r="A895" s="2" t="s">
        <v>191</v>
      </c>
      <c r="B895" s="3">
        <v>46234</v>
      </c>
      <c r="C895" s="2" t="s">
        <v>30</v>
      </c>
      <c r="D895" s="2" t="s">
        <v>41</v>
      </c>
    </row>
    <row r="896" spans="1:4" x14ac:dyDescent="0.35">
      <c r="A896" s="2" t="s">
        <v>191</v>
      </c>
      <c r="B896" s="3">
        <v>46265</v>
      </c>
      <c r="C896" s="2" t="s">
        <v>246</v>
      </c>
      <c r="D896" s="2" t="s">
        <v>41</v>
      </c>
    </row>
    <row r="897" spans="1:4" x14ac:dyDescent="0.35">
      <c r="A897" s="2" t="s">
        <v>191</v>
      </c>
      <c r="B897" s="3">
        <v>46253</v>
      </c>
      <c r="C897" s="2" t="s">
        <v>246</v>
      </c>
      <c r="D897" s="2" t="s">
        <v>41</v>
      </c>
    </row>
    <row r="898" spans="1:4" x14ac:dyDescent="0.35">
      <c r="A898" s="2" t="s">
        <v>191</v>
      </c>
      <c r="B898" s="3">
        <v>46269</v>
      </c>
      <c r="C898" s="2" t="s">
        <v>30</v>
      </c>
      <c r="D898" s="2" t="s">
        <v>41</v>
      </c>
    </row>
    <row r="899" spans="1:4" x14ac:dyDescent="0.35">
      <c r="A899" s="2" t="s">
        <v>191</v>
      </c>
      <c r="B899" s="3">
        <v>46268</v>
      </c>
      <c r="C899" s="2" t="s">
        <v>246</v>
      </c>
      <c r="D899" s="2" t="s">
        <v>41</v>
      </c>
    </row>
    <row r="900" spans="1:4" x14ac:dyDescent="0.35">
      <c r="A900" s="2" t="s">
        <v>191</v>
      </c>
      <c r="B900" s="3">
        <v>46206</v>
      </c>
      <c r="C900" s="2" t="s">
        <v>246</v>
      </c>
      <c r="D900" s="2" t="s">
        <v>41</v>
      </c>
    </row>
    <row r="901" spans="1:4" x14ac:dyDescent="0.35">
      <c r="A901" s="2" t="s">
        <v>191</v>
      </c>
      <c r="B901" s="3">
        <v>46279</v>
      </c>
      <c r="C901" s="2" t="s">
        <v>247</v>
      </c>
      <c r="D901" s="2" t="s">
        <v>41</v>
      </c>
    </row>
    <row r="902" spans="1:4" x14ac:dyDescent="0.35">
      <c r="A902" s="2" t="s">
        <v>193</v>
      </c>
      <c r="B902" s="3">
        <v>46286</v>
      </c>
      <c r="C902" s="2" t="s">
        <v>247</v>
      </c>
      <c r="D902" s="2" t="s">
        <v>41</v>
      </c>
    </row>
    <row r="903" spans="1:4" x14ac:dyDescent="0.35">
      <c r="A903" s="2" t="s">
        <v>193</v>
      </c>
      <c r="B903" s="3">
        <v>46281</v>
      </c>
      <c r="C903" s="2" t="s">
        <v>246</v>
      </c>
      <c r="D903" s="2" t="s">
        <v>41</v>
      </c>
    </row>
    <row r="904" spans="1:4" x14ac:dyDescent="0.35">
      <c r="A904" s="2" t="s">
        <v>193</v>
      </c>
      <c r="B904" s="3">
        <v>46247</v>
      </c>
      <c r="C904" s="2" t="s">
        <v>246</v>
      </c>
      <c r="D904" s="2" t="s">
        <v>41</v>
      </c>
    </row>
    <row r="905" spans="1:4" x14ac:dyDescent="0.35">
      <c r="A905" s="2" t="s">
        <v>193</v>
      </c>
      <c r="B905" s="3">
        <v>46219</v>
      </c>
      <c r="C905" s="2" t="s">
        <v>246</v>
      </c>
      <c r="D905" s="2" t="s">
        <v>41</v>
      </c>
    </row>
    <row r="906" spans="1:4" x14ac:dyDescent="0.35">
      <c r="A906" s="2" t="s">
        <v>193</v>
      </c>
      <c r="B906" s="3">
        <v>46220</v>
      </c>
      <c r="C906" s="2" t="s">
        <v>246</v>
      </c>
      <c r="D906" s="2" t="s">
        <v>41</v>
      </c>
    </row>
    <row r="907" spans="1:4" x14ac:dyDescent="0.35">
      <c r="A907" s="2" t="s">
        <v>193</v>
      </c>
      <c r="B907" s="3">
        <v>46232</v>
      </c>
      <c r="C907" s="2" t="s">
        <v>247</v>
      </c>
      <c r="D907" s="2" t="s">
        <v>41</v>
      </c>
    </row>
    <row r="908" spans="1:4" x14ac:dyDescent="0.35">
      <c r="A908" s="2" t="s">
        <v>193</v>
      </c>
      <c r="B908" s="3">
        <v>46266</v>
      </c>
      <c r="C908" s="2" t="s">
        <v>30</v>
      </c>
      <c r="D908" s="2" t="s">
        <v>41</v>
      </c>
    </row>
    <row r="909" spans="1:4" x14ac:dyDescent="0.35">
      <c r="A909" s="2" t="s">
        <v>193</v>
      </c>
      <c r="B909" s="3">
        <v>46241</v>
      </c>
      <c r="C909" s="2" t="s">
        <v>30</v>
      </c>
      <c r="D909" s="2" t="s">
        <v>41</v>
      </c>
    </row>
    <row r="910" spans="1:4" x14ac:dyDescent="0.35">
      <c r="A910" s="2" t="s">
        <v>193</v>
      </c>
      <c r="B910" s="3">
        <v>46205</v>
      </c>
      <c r="C910" s="2" t="s">
        <v>245</v>
      </c>
      <c r="D910" s="2" t="s">
        <v>41</v>
      </c>
    </row>
    <row r="911" spans="1:4" x14ac:dyDescent="0.35">
      <c r="A911" s="2" t="s">
        <v>193</v>
      </c>
      <c r="B911" s="3">
        <v>46211</v>
      </c>
      <c r="C911" s="2" t="s">
        <v>30</v>
      </c>
      <c r="D911" s="2" t="s">
        <v>41</v>
      </c>
    </row>
    <row r="912" spans="1:4" x14ac:dyDescent="0.35">
      <c r="A912" s="2" t="s">
        <v>193</v>
      </c>
      <c r="B912" s="3">
        <v>46244</v>
      </c>
      <c r="C912" s="2" t="s">
        <v>246</v>
      </c>
      <c r="D912" s="2" t="s">
        <v>41</v>
      </c>
    </row>
    <row r="913" spans="1:4" x14ac:dyDescent="0.35">
      <c r="A913" s="2" t="s">
        <v>193</v>
      </c>
      <c r="B913" s="3">
        <v>46252</v>
      </c>
      <c r="C913" s="2" t="s">
        <v>247</v>
      </c>
      <c r="D913" s="2" t="s">
        <v>41</v>
      </c>
    </row>
    <row r="914" spans="1:4" x14ac:dyDescent="0.35">
      <c r="A914" s="2" t="s">
        <v>195</v>
      </c>
      <c r="B914" s="3">
        <v>46259</v>
      </c>
      <c r="C914" s="2" t="s">
        <v>247</v>
      </c>
      <c r="D914" s="2" t="s">
        <v>37</v>
      </c>
    </row>
    <row r="915" spans="1:4" x14ac:dyDescent="0.35">
      <c r="A915" s="2" t="s">
        <v>195</v>
      </c>
      <c r="B915" s="3">
        <v>46204</v>
      </c>
      <c r="C915" s="2" t="s">
        <v>246</v>
      </c>
      <c r="D915" s="2" t="s">
        <v>37</v>
      </c>
    </row>
    <row r="916" spans="1:4" x14ac:dyDescent="0.35">
      <c r="A916" s="2" t="s">
        <v>195</v>
      </c>
      <c r="B916" s="3">
        <v>46231</v>
      </c>
      <c r="C916" s="2" t="s">
        <v>246</v>
      </c>
      <c r="D916" s="2" t="s">
        <v>37</v>
      </c>
    </row>
    <row r="917" spans="1:4" x14ac:dyDescent="0.35">
      <c r="A917" s="2" t="s">
        <v>195</v>
      </c>
      <c r="B917" s="3">
        <v>46251</v>
      </c>
      <c r="C917" s="2" t="s">
        <v>246</v>
      </c>
      <c r="D917" s="2" t="s">
        <v>37</v>
      </c>
    </row>
    <row r="918" spans="1:4" x14ac:dyDescent="0.35">
      <c r="A918" s="2" t="s">
        <v>195</v>
      </c>
      <c r="B918" s="3">
        <v>46239</v>
      </c>
      <c r="C918" s="2" t="s">
        <v>246</v>
      </c>
      <c r="D918" s="2" t="s">
        <v>37</v>
      </c>
    </row>
    <row r="919" spans="1:4" x14ac:dyDescent="0.35">
      <c r="A919" s="2" t="s">
        <v>195</v>
      </c>
      <c r="B919" s="3">
        <v>46281</v>
      </c>
      <c r="C919" s="2" t="s">
        <v>245</v>
      </c>
      <c r="D919" s="2" t="s">
        <v>37</v>
      </c>
    </row>
    <row r="920" spans="1:4" x14ac:dyDescent="0.35">
      <c r="A920" s="2" t="s">
        <v>195</v>
      </c>
      <c r="B920" s="3">
        <v>46272</v>
      </c>
      <c r="C920" s="2" t="s">
        <v>247</v>
      </c>
      <c r="D920" s="2" t="s">
        <v>37</v>
      </c>
    </row>
    <row r="921" spans="1:4" x14ac:dyDescent="0.35">
      <c r="A921" s="2" t="s">
        <v>195</v>
      </c>
      <c r="B921" s="3">
        <v>46213</v>
      </c>
      <c r="C921" s="2" t="s">
        <v>246</v>
      </c>
      <c r="D921" s="2" t="s">
        <v>37</v>
      </c>
    </row>
    <row r="922" spans="1:4" x14ac:dyDescent="0.35">
      <c r="A922" s="2" t="s">
        <v>195</v>
      </c>
      <c r="B922" s="3">
        <v>46253</v>
      </c>
      <c r="C922" s="2" t="s">
        <v>30</v>
      </c>
      <c r="D922" s="2" t="s">
        <v>37</v>
      </c>
    </row>
    <row r="923" spans="1:4" x14ac:dyDescent="0.35">
      <c r="A923" s="2" t="s">
        <v>195</v>
      </c>
      <c r="B923" s="3">
        <v>46241</v>
      </c>
      <c r="C923" s="2" t="s">
        <v>245</v>
      </c>
      <c r="D923" s="2" t="s">
        <v>37</v>
      </c>
    </row>
    <row r="924" spans="1:4" x14ac:dyDescent="0.35">
      <c r="A924" s="2" t="s">
        <v>195</v>
      </c>
      <c r="B924" s="3">
        <v>46269</v>
      </c>
      <c r="C924" s="2" t="s">
        <v>30</v>
      </c>
      <c r="D924" s="2" t="s">
        <v>37</v>
      </c>
    </row>
    <row r="925" spans="1:4" x14ac:dyDescent="0.35">
      <c r="A925" s="2" t="s">
        <v>195</v>
      </c>
      <c r="B925" s="3">
        <v>46230</v>
      </c>
      <c r="C925" s="2" t="s">
        <v>247</v>
      </c>
      <c r="D925" s="2" t="s">
        <v>37</v>
      </c>
    </row>
    <row r="926" spans="1:4" x14ac:dyDescent="0.35">
      <c r="A926" s="2" t="s">
        <v>197</v>
      </c>
      <c r="B926" s="3">
        <v>46262</v>
      </c>
      <c r="C926" s="2" t="s">
        <v>30</v>
      </c>
      <c r="D926" s="2" t="s">
        <v>11</v>
      </c>
    </row>
    <row r="927" spans="1:4" x14ac:dyDescent="0.35">
      <c r="A927" s="2" t="s">
        <v>197</v>
      </c>
      <c r="B927" s="3">
        <v>46246</v>
      </c>
      <c r="C927" s="2" t="s">
        <v>246</v>
      </c>
      <c r="D927" s="2" t="s">
        <v>11</v>
      </c>
    </row>
    <row r="928" spans="1:4" x14ac:dyDescent="0.35">
      <c r="A928" s="2" t="s">
        <v>197</v>
      </c>
      <c r="B928" s="3">
        <v>46288</v>
      </c>
      <c r="C928" s="2" t="s">
        <v>246</v>
      </c>
      <c r="D928" s="2" t="s">
        <v>11</v>
      </c>
    </row>
    <row r="929" spans="1:4" x14ac:dyDescent="0.35">
      <c r="A929" s="2" t="s">
        <v>197</v>
      </c>
      <c r="B929" s="3">
        <v>46247</v>
      </c>
      <c r="C929" s="2" t="s">
        <v>246</v>
      </c>
      <c r="D929" s="2" t="s">
        <v>11</v>
      </c>
    </row>
    <row r="930" spans="1:4" x14ac:dyDescent="0.35">
      <c r="A930" s="2" t="s">
        <v>197</v>
      </c>
      <c r="B930" s="3">
        <v>46259</v>
      </c>
      <c r="C930" s="2" t="s">
        <v>246</v>
      </c>
      <c r="D930" s="2" t="s">
        <v>11</v>
      </c>
    </row>
    <row r="931" spans="1:4" x14ac:dyDescent="0.35">
      <c r="A931" s="2" t="s">
        <v>197</v>
      </c>
      <c r="B931" s="3">
        <v>46261</v>
      </c>
      <c r="C931" s="2" t="s">
        <v>30</v>
      </c>
      <c r="D931" s="2" t="s">
        <v>11</v>
      </c>
    </row>
    <row r="932" spans="1:4" x14ac:dyDescent="0.35">
      <c r="A932" s="2" t="s">
        <v>197</v>
      </c>
      <c r="B932" s="3">
        <v>46253</v>
      </c>
      <c r="C932" s="2" t="s">
        <v>30</v>
      </c>
      <c r="D932" s="2" t="s">
        <v>11</v>
      </c>
    </row>
    <row r="933" spans="1:4" x14ac:dyDescent="0.35">
      <c r="A933" s="2" t="s">
        <v>197</v>
      </c>
      <c r="B933" s="3">
        <v>46260</v>
      </c>
      <c r="C933" s="2" t="s">
        <v>247</v>
      </c>
      <c r="D933" s="2" t="s">
        <v>11</v>
      </c>
    </row>
    <row r="934" spans="1:4" x14ac:dyDescent="0.35">
      <c r="A934" s="2" t="s">
        <v>197</v>
      </c>
      <c r="B934" s="3">
        <v>46273</v>
      </c>
      <c r="C934" s="2" t="s">
        <v>247</v>
      </c>
      <c r="D934" s="2" t="s">
        <v>11</v>
      </c>
    </row>
    <row r="935" spans="1:4" x14ac:dyDescent="0.35">
      <c r="A935" s="2" t="s">
        <v>197</v>
      </c>
      <c r="B935" s="3">
        <v>46245</v>
      </c>
      <c r="C935" s="2" t="s">
        <v>247</v>
      </c>
      <c r="D935" s="2" t="s">
        <v>11</v>
      </c>
    </row>
    <row r="936" spans="1:4" x14ac:dyDescent="0.35">
      <c r="A936" s="2" t="s">
        <v>197</v>
      </c>
      <c r="B936" s="3">
        <v>46295</v>
      </c>
      <c r="C936" s="2" t="s">
        <v>246</v>
      </c>
      <c r="D936" s="2" t="s">
        <v>11</v>
      </c>
    </row>
    <row r="937" spans="1:4" x14ac:dyDescent="0.35">
      <c r="A937" s="2" t="s">
        <v>197</v>
      </c>
      <c r="B937" s="3">
        <v>46244</v>
      </c>
      <c r="C937" s="2" t="s">
        <v>245</v>
      </c>
      <c r="D937" s="2" t="s">
        <v>11</v>
      </c>
    </row>
    <row r="938" spans="1:4" x14ac:dyDescent="0.35">
      <c r="A938" s="2" t="s">
        <v>199</v>
      </c>
      <c r="B938" s="3">
        <v>46245</v>
      </c>
      <c r="C938" s="2" t="s">
        <v>246</v>
      </c>
      <c r="D938" s="2" t="s">
        <v>17</v>
      </c>
    </row>
    <row r="939" spans="1:4" x14ac:dyDescent="0.35">
      <c r="A939" s="2" t="s">
        <v>199</v>
      </c>
      <c r="B939" s="3">
        <v>46217</v>
      </c>
      <c r="C939" s="2" t="s">
        <v>246</v>
      </c>
      <c r="D939" s="2" t="s">
        <v>17</v>
      </c>
    </row>
    <row r="940" spans="1:4" x14ac:dyDescent="0.35">
      <c r="A940" s="2" t="s">
        <v>199</v>
      </c>
      <c r="B940" s="3">
        <v>46209</v>
      </c>
      <c r="C940" s="2" t="s">
        <v>246</v>
      </c>
      <c r="D940" s="2" t="s">
        <v>17</v>
      </c>
    </row>
    <row r="941" spans="1:4" x14ac:dyDescent="0.35">
      <c r="A941" s="2" t="s">
        <v>199</v>
      </c>
      <c r="B941" s="3">
        <v>46216</v>
      </c>
      <c r="C941" s="2" t="s">
        <v>30</v>
      </c>
      <c r="D941" s="2" t="s">
        <v>17</v>
      </c>
    </row>
    <row r="942" spans="1:4" x14ac:dyDescent="0.35">
      <c r="A942" s="2" t="s">
        <v>199</v>
      </c>
      <c r="B942" s="3">
        <v>46283</v>
      </c>
      <c r="C942" s="2" t="s">
        <v>247</v>
      </c>
      <c r="D942" s="2" t="s">
        <v>17</v>
      </c>
    </row>
    <row r="943" spans="1:4" x14ac:dyDescent="0.35">
      <c r="A943" s="2" t="s">
        <v>199</v>
      </c>
      <c r="B943" s="3">
        <v>46224</v>
      </c>
      <c r="C943" s="2" t="s">
        <v>246</v>
      </c>
      <c r="D943" s="2" t="s">
        <v>17</v>
      </c>
    </row>
    <row r="944" spans="1:4" x14ac:dyDescent="0.35">
      <c r="A944" s="2" t="s">
        <v>199</v>
      </c>
      <c r="B944" s="3">
        <v>46238</v>
      </c>
      <c r="C944" s="2" t="s">
        <v>246</v>
      </c>
      <c r="D944" s="2" t="s">
        <v>17</v>
      </c>
    </row>
    <row r="945" spans="1:4" x14ac:dyDescent="0.35">
      <c r="A945" s="2" t="s">
        <v>199</v>
      </c>
      <c r="B945" s="3">
        <v>46276</v>
      </c>
      <c r="C945" s="2" t="s">
        <v>246</v>
      </c>
      <c r="D945" s="2" t="s">
        <v>17</v>
      </c>
    </row>
    <row r="946" spans="1:4" x14ac:dyDescent="0.35">
      <c r="A946" s="2" t="s">
        <v>199</v>
      </c>
      <c r="B946" s="3">
        <v>46232</v>
      </c>
      <c r="C946" s="2" t="s">
        <v>247</v>
      </c>
      <c r="D946" s="2" t="s">
        <v>17</v>
      </c>
    </row>
    <row r="947" spans="1:4" x14ac:dyDescent="0.35">
      <c r="A947" s="2" t="s">
        <v>199</v>
      </c>
      <c r="B947" s="3">
        <v>46281</v>
      </c>
      <c r="C947" s="2" t="s">
        <v>246</v>
      </c>
      <c r="D947" s="2" t="s">
        <v>17</v>
      </c>
    </row>
    <row r="948" spans="1:4" x14ac:dyDescent="0.35">
      <c r="A948" s="2" t="s">
        <v>199</v>
      </c>
      <c r="B948" s="3">
        <v>46212</v>
      </c>
      <c r="C948" s="2" t="s">
        <v>246</v>
      </c>
      <c r="D948" s="2" t="s">
        <v>17</v>
      </c>
    </row>
    <row r="949" spans="1:4" x14ac:dyDescent="0.35">
      <c r="A949" s="2" t="s">
        <v>199</v>
      </c>
      <c r="B949" s="3">
        <v>46275</v>
      </c>
      <c r="C949" s="2" t="s">
        <v>247</v>
      </c>
      <c r="D949" s="2" t="s">
        <v>17</v>
      </c>
    </row>
    <row r="950" spans="1:4" x14ac:dyDescent="0.35">
      <c r="A950" s="2" t="s">
        <v>201</v>
      </c>
      <c r="B950" s="3">
        <v>46252</v>
      </c>
      <c r="C950" s="2" t="s">
        <v>246</v>
      </c>
      <c r="D950" s="2" t="s">
        <v>17</v>
      </c>
    </row>
    <row r="951" spans="1:4" x14ac:dyDescent="0.35">
      <c r="A951" s="2" t="s">
        <v>201</v>
      </c>
      <c r="B951" s="3">
        <v>46290</v>
      </c>
      <c r="C951" s="2" t="s">
        <v>246</v>
      </c>
      <c r="D951" s="2" t="s">
        <v>17</v>
      </c>
    </row>
    <row r="952" spans="1:4" x14ac:dyDescent="0.35">
      <c r="A952" s="2" t="s">
        <v>201</v>
      </c>
      <c r="B952" s="3">
        <v>46217</v>
      </c>
      <c r="C952" s="2" t="s">
        <v>246</v>
      </c>
      <c r="D952" s="2" t="s">
        <v>17</v>
      </c>
    </row>
    <row r="953" spans="1:4" x14ac:dyDescent="0.35">
      <c r="A953" s="2" t="s">
        <v>201</v>
      </c>
      <c r="B953" s="3">
        <v>46233</v>
      </c>
      <c r="C953" s="2" t="s">
        <v>246</v>
      </c>
      <c r="D953" s="2" t="s">
        <v>17</v>
      </c>
    </row>
    <row r="954" spans="1:4" x14ac:dyDescent="0.35">
      <c r="A954" s="2" t="s">
        <v>201</v>
      </c>
      <c r="B954" s="3">
        <v>46248</v>
      </c>
      <c r="C954" s="2" t="s">
        <v>246</v>
      </c>
      <c r="D954" s="2" t="s">
        <v>17</v>
      </c>
    </row>
    <row r="955" spans="1:4" x14ac:dyDescent="0.35">
      <c r="A955" s="2" t="s">
        <v>201</v>
      </c>
      <c r="B955" s="3">
        <v>46288</v>
      </c>
      <c r="C955" s="2" t="s">
        <v>246</v>
      </c>
      <c r="D955" s="2" t="s">
        <v>17</v>
      </c>
    </row>
    <row r="956" spans="1:4" x14ac:dyDescent="0.35">
      <c r="A956" s="2" t="s">
        <v>201</v>
      </c>
      <c r="B956" s="3">
        <v>46255</v>
      </c>
      <c r="C956" s="2" t="s">
        <v>245</v>
      </c>
      <c r="D956" s="2" t="s">
        <v>17</v>
      </c>
    </row>
    <row r="957" spans="1:4" x14ac:dyDescent="0.35">
      <c r="A957" s="2" t="s">
        <v>201</v>
      </c>
      <c r="B957" s="3">
        <v>46210</v>
      </c>
      <c r="C957" s="2" t="s">
        <v>246</v>
      </c>
      <c r="D957" s="2" t="s">
        <v>17</v>
      </c>
    </row>
    <row r="958" spans="1:4" x14ac:dyDescent="0.35">
      <c r="A958" s="2" t="s">
        <v>201</v>
      </c>
      <c r="B958" s="3">
        <v>46224</v>
      </c>
      <c r="C958" s="2" t="s">
        <v>246</v>
      </c>
      <c r="D958" s="2" t="s">
        <v>17</v>
      </c>
    </row>
    <row r="959" spans="1:4" x14ac:dyDescent="0.35">
      <c r="A959" s="2" t="s">
        <v>201</v>
      </c>
      <c r="B959" s="3">
        <v>46225</v>
      </c>
      <c r="C959" s="2" t="s">
        <v>246</v>
      </c>
      <c r="D959" s="2" t="s">
        <v>17</v>
      </c>
    </row>
    <row r="960" spans="1:4" x14ac:dyDescent="0.35">
      <c r="A960" s="2" t="s">
        <v>201</v>
      </c>
      <c r="B960" s="3">
        <v>46247</v>
      </c>
      <c r="C960" s="2" t="s">
        <v>247</v>
      </c>
      <c r="D960" s="2" t="s">
        <v>17</v>
      </c>
    </row>
    <row r="961" spans="1:4" x14ac:dyDescent="0.35">
      <c r="A961" s="2" t="s">
        <v>201</v>
      </c>
      <c r="B961" s="3">
        <v>46251</v>
      </c>
      <c r="C961" s="2" t="s">
        <v>247</v>
      </c>
      <c r="D961" s="2" t="s">
        <v>17</v>
      </c>
    </row>
    <row r="962" spans="1:4" x14ac:dyDescent="0.35">
      <c r="A962" s="2" t="s">
        <v>203</v>
      </c>
      <c r="B962" s="3">
        <v>46230</v>
      </c>
      <c r="C962" s="2" t="s">
        <v>247</v>
      </c>
      <c r="D962" s="2" t="s">
        <v>37</v>
      </c>
    </row>
    <row r="963" spans="1:4" x14ac:dyDescent="0.35">
      <c r="A963" s="2" t="s">
        <v>203</v>
      </c>
      <c r="B963" s="3">
        <v>46290</v>
      </c>
      <c r="C963" s="2" t="s">
        <v>247</v>
      </c>
      <c r="D963" s="2" t="s">
        <v>37</v>
      </c>
    </row>
    <row r="964" spans="1:4" x14ac:dyDescent="0.35">
      <c r="A964" s="2" t="s">
        <v>203</v>
      </c>
      <c r="B964" s="3">
        <v>46255</v>
      </c>
      <c r="C964" s="2" t="s">
        <v>30</v>
      </c>
      <c r="D964" s="2" t="s">
        <v>37</v>
      </c>
    </row>
    <row r="965" spans="1:4" x14ac:dyDescent="0.35">
      <c r="A965" s="2" t="s">
        <v>203</v>
      </c>
      <c r="B965" s="3">
        <v>46288</v>
      </c>
      <c r="C965" s="2" t="s">
        <v>246</v>
      </c>
      <c r="D965" s="2" t="s">
        <v>37</v>
      </c>
    </row>
    <row r="966" spans="1:4" x14ac:dyDescent="0.35">
      <c r="A966" s="2" t="s">
        <v>203</v>
      </c>
      <c r="B966" s="3">
        <v>46212</v>
      </c>
      <c r="C966" s="2" t="s">
        <v>246</v>
      </c>
      <c r="D966" s="2" t="s">
        <v>37</v>
      </c>
    </row>
    <row r="967" spans="1:4" x14ac:dyDescent="0.35">
      <c r="A967" s="2" t="s">
        <v>203</v>
      </c>
      <c r="B967" s="3">
        <v>46272</v>
      </c>
      <c r="C967" s="2" t="s">
        <v>247</v>
      </c>
      <c r="D967" s="2" t="s">
        <v>37</v>
      </c>
    </row>
    <row r="968" spans="1:4" x14ac:dyDescent="0.35">
      <c r="A968" s="2" t="s">
        <v>203</v>
      </c>
      <c r="B968" s="3">
        <v>46219</v>
      </c>
      <c r="C968" s="2" t="s">
        <v>246</v>
      </c>
      <c r="D968" s="2" t="s">
        <v>37</v>
      </c>
    </row>
    <row r="969" spans="1:4" x14ac:dyDescent="0.35">
      <c r="A969" s="2" t="s">
        <v>203</v>
      </c>
      <c r="B969" s="3">
        <v>46204</v>
      </c>
      <c r="C969" s="2" t="s">
        <v>246</v>
      </c>
      <c r="D969" s="2" t="s">
        <v>37</v>
      </c>
    </row>
    <row r="970" spans="1:4" x14ac:dyDescent="0.35">
      <c r="A970" s="2" t="s">
        <v>203</v>
      </c>
      <c r="B970" s="3">
        <v>46248</v>
      </c>
      <c r="C970" s="2" t="s">
        <v>245</v>
      </c>
      <c r="D970" s="2" t="s">
        <v>37</v>
      </c>
    </row>
    <row r="971" spans="1:4" x14ac:dyDescent="0.35">
      <c r="A971" s="2" t="s">
        <v>203</v>
      </c>
      <c r="B971" s="3">
        <v>46294</v>
      </c>
      <c r="C971" s="2" t="s">
        <v>245</v>
      </c>
      <c r="D971" s="2" t="s">
        <v>37</v>
      </c>
    </row>
    <row r="972" spans="1:4" x14ac:dyDescent="0.35">
      <c r="A972" s="2" t="s">
        <v>203</v>
      </c>
      <c r="B972" s="3">
        <v>46234</v>
      </c>
      <c r="C972" s="2" t="s">
        <v>246</v>
      </c>
      <c r="D972" s="2" t="s">
        <v>37</v>
      </c>
    </row>
    <row r="973" spans="1:4" x14ac:dyDescent="0.35">
      <c r="A973" s="2" t="s">
        <v>203</v>
      </c>
      <c r="B973" s="3">
        <v>46241</v>
      </c>
      <c r="C973" s="2" t="s">
        <v>247</v>
      </c>
      <c r="D973" s="2" t="s">
        <v>37</v>
      </c>
    </row>
    <row r="974" spans="1:4" x14ac:dyDescent="0.35">
      <c r="A974" s="2" t="s">
        <v>205</v>
      </c>
      <c r="B974" s="3">
        <v>46219</v>
      </c>
      <c r="C974" s="2" t="s">
        <v>246</v>
      </c>
      <c r="D974" s="2" t="s">
        <v>11</v>
      </c>
    </row>
    <row r="975" spans="1:4" x14ac:dyDescent="0.35">
      <c r="A975" s="2" t="s">
        <v>205</v>
      </c>
      <c r="B975" s="3">
        <v>46246</v>
      </c>
      <c r="C975" s="2" t="s">
        <v>30</v>
      </c>
      <c r="D975" s="2" t="s">
        <v>11</v>
      </c>
    </row>
    <row r="976" spans="1:4" x14ac:dyDescent="0.35">
      <c r="A976" s="2" t="s">
        <v>205</v>
      </c>
      <c r="B976" s="3">
        <v>46282</v>
      </c>
      <c r="C976" s="2" t="s">
        <v>246</v>
      </c>
      <c r="D976" s="2" t="s">
        <v>11</v>
      </c>
    </row>
    <row r="977" spans="1:4" x14ac:dyDescent="0.35">
      <c r="A977" s="2" t="s">
        <v>205</v>
      </c>
      <c r="B977" s="3">
        <v>46279</v>
      </c>
      <c r="C977" s="2" t="s">
        <v>245</v>
      </c>
      <c r="D977" s="2" t="s">
        <v>11</v>
      </c>
    </row>
    <row r="978" spans="1:4" x14ac:dyDescent="0.35">
      <c r="A978" s="2" t="s">
        <v>205</v>
      </c>
      <c r="B978" s="3">
        <v>46232</v>
      </c>
      <c r="C978" s="2" t="s">
        <v>246</v>
      </c>
      <c r="D978" s="2" t="s">
        <v>11</v>
      </c>
    </row>
    <row r="979" spans="1:4" x14ac:dyDescent="0.35">
      <c r="A979" s="2" t="s">
        <v>205</v>
      </c>
      <c r="B979" s="3">
        <v>46204</v>
      </c>
      <c r="C979" s="2" t="s">
        <v>246</v>
      </c>
      <c r="D979" s="2" t="s">
        <v>11</v>
      </c>
    </row>
    <row r="980" spans="1:4" x14ac:dyDescent="0.35">
      <c r="A980" s="2" t="s">
        <v>205</v>
      </c>
      <c r="B980" s="3">
        <v>46259</v>
      </c>
      <c r="C980" s="2" t="s">
        <v>30</v>
      </c>
      <c r="D980" s="2" t="s">
        <v>11</v>
      </c>
    </row>
    <row r="981" spans="1:4" x14ac:dyDescent="0.35">
      <c r="A981" s="2" t="s">
        <v>205</v>
      </c>
      <c r="B981" s="3">
        <v>46275</v>
      </c>
      <c r="C981" s="2" t="s">
        <v>247</v>
      </c>
      <c r="D981" s="2" t="s">
        <v>11</v>
      </c>
    </row>
    <row r="982" spans="1:4" x14ac:dyDescent="0.35">
      <c r="A982" s="2" t="s">
        <v>205</v>
      </c>
      <c r="B982" s="3">
        <v>46234</v>
      </c>
      <c r="C982" s="2" t="s">
        <v>30</v>
      </c>
      <c r="D982" s="2" t="s">
        <v>11</v>
      </c>
    </row>
    <row r="983" spans="1:4" x14ac:dyDescent="0.35">
      <c r="A983" s="2" t="s">
        <v>205</v>
      </c>
      <c r="B983" s="3">
        <v>46239</v>
      </c>
      <c r="C983" s="2" t="s">
        <v>246</v>
      </c>
      <c r="D983" s="2" t="s">
        <v>11</v>
      </c>
    </row>
    <row r="984" spans="1:4" x14ac:dyDescent="0.35">
      <c r="A984" s="2" t="s">
        <v>205</v>
      </c>
      <c r="B984" s="3">
        <v>46248</v>
      </c>
      <c r="C984" s="2" t="s">
        <v>246</v>
      </c>
      <c r="D984" s="2" t="s">
        <v>11</v>
      </c>
    </row>
    <row r="985" spans="1:4" x14ac:dyDescent="0.35">
      <c r="A985" s="2" t="s">
        <v>205</v>
      </c>
      <c r="B985" s="3">
        <v>46240</v>
      </c>
      <c r="C985" s="2" t="s">
        <v>247</v>
      </c>
      <c r="D985" s="2" t="s">
        <v>11</v>
      </c>
    </row>
    <row r="986" spans="1:4" x14ac:dyDescent="0.35">
      <c r="A986" s="2" t="s">
        <v>207</v>
      </c>
      <c r="B986" s="3">
        <v>46237</v>
      </c>
      <c r="C986" s="2" t="s">
        <v>246</v>
      </c>
      <c r="D986" s="2" t="s">
        <v>11</v>
      </c>
    </row>
    <row r="987" spans="1:4" x14ac:dyDescent="0.35">
      <c r="A987" s="2" t="s">
        <v>207</v>
      </c>
      <c r="B987" s="3">
        <v>46217</v>
      </c>
      <c r="C987" s="2" t="s">
        <v>30</v>
      </c>
      <c r="D987" s="2" t="s">
        <v>11</v>
      </c>
    </row>
    <row r="988" spans="1:4" x14ac:dyDescent="0.35">
      <c r="A988" s="2" t="s">
        <v>207</v>
      </c>
      <c r="B988" s="3">
        <v>46219</v>
      </c>
      <c r="C988" s="2" t="s">
        <v>245</v>
      </c>
      <c r="D988" s="2" t="s">
        <v>11</v>
      </c>
    </row>
    <row r="989" spans="1:4" x14ac:dyDescent="0.35">
      <c r="A989" s="2" t="s">
        <v>207</v>
      </c>
      <c r="B989" s="3">
        <v>46261</v>
      </c>
      <c r="C989" s="2" t="s">
        <v>30</v>
      </c>
      <c r="D989" s="2" t="s">
        <v>11</v>
      </c>
    </row>
    <row r="990" spans="1:4" x14ac:dyDescent="0.35">
      <c r="A990" s="2" t="s">
        <v>207</v>
      </c>
      <c r="B990" s="3">
        <v>46220</v>
      </c>
      <c r="C990" s="2" t="s">
        <v>246</v>
      </c>
      <c r="D990" s="2" t="s">
        <v>11</v>
      </c>
    </row>
    <row r="991" spans="1:4" x14ac:dyDescent="0.35">
      <c r="A991" s="2" t="s">
        <v>207</v>
      </c>
      <c r="B991" s="3">
        <v>46238</v>
      </c>
      <c r="C991" s="2" t="s">
        <v>247</v>
      </c>
      <c r="D991" s="2" t="s">
        <v>11</v>
      </c>
    </row>
    <row r="992" spans="1:4" x14ac:dyDescent="0.35">
      <c r="A992" s="2" t="s">
        <v>207</v>
      </c>
      <c r="B992" s="3">
        <v>46283</v>
      </c>
      <c r="C992" s="2" t="s">
        <v>246</v>
      </c>
      <c r="D992" s="2" t="s">
        <v>11</v>
      </c>
    </row>
    <row r="993" spans="1:4" x14ac:dyDescent="0.35">
      <c r="A993" s="2" t="s">
        <v>207</v>
      </c>
      <c r="B993" s="3">
        <v>46254</v>
      </c>
      <c r="C993" s="2" t="s">
        <v>246</v>
      </c>
      <c r="D993" s="2" t="s">
        <v>11</v>
      </c>
    </row>
    <row r="994" spans="1:4" x14ac:dyDescent="0.35">
      <c r="A994" s="2" t="s">
        <v>207</v>
      </c>
      <c r="B994" s="3">
        <v>46295</v>
      </c>
      <c r="C994" s="2" t="s">
        <v>30</v>
      </c>
      <c r="D994" s="2" t="s">
        <v>11</v>
      </c>
    </row>
    <row r="995" spans="1:4" x14ac:dyDescent="0.35">
      <c r="A995" s="2" t="s">
        <v>207</v>
      </c>
      <c r="B995" s="3">
        <v>46241</v>
      </c>
      <c r="C995" s="2" t="s">
        <v>247</v>
      </c>
      <c r="D995" s="2" t="s">
        <v>11</v>
      </c>
    </row>
    <row r="996" spans="1:4" x14ac:dyDescent="0.35">
      <c r="A996" s="2" t="s">
        <v>207</v>
      </c>
      <c r="B996" s="3">
        <v>46273</v>
      </c>
      <c r="C996" s="2" t="s">
        <v>247</v>
      </c>
      <c r="D996" s="2" t="s">
        <v>11</v>
      </c>
    </row>
    <row r="997" spans="1:4" x14ac:dyDescent="0.35">
      <c r="A997" s="2" t="s">
        <v>207</v>
      </c>
      <c r="B997" s="3">
        <v>46293</v>
      </c>
      <c r="C997" s="2" t="s">
        <v>246</v>
      </c>
      <c r="D997" s="2" t="s">
        <v>11</v>
      </c>
    </row>
    <row r="998" spans="1:4" x14ac:dyDescent="0.35">
      <c r="A998" s="2" t="s">
        <v>209</v>
      </c>
      <c r="B998" s="3">
        <v>46261</v>
      </c>
      <c r="C998" s="2" t="s">
        <v>246</v>
      </c>
      <c r="D998" s="2" t="s">
        <v>11</v>
      </c>
    </row>
    <row r="999" spans="1:4" x14ac:dyDescent="0.35">
      <c r="A999" s="2" t="s">
        <v>209</v>
      </c>
      <c r="B999" s="3">
        <v>46227</v>
      </c>
      <c r="C999" s="2" t="s">
        <v>245</v>
      </c>
      <c r="D999" s="2" t="s">
        <v>11</v>
      </c>
    </row>
    <row r="1000" spans="1:4" x14ac:dyDescent="0.35">
      <c r="A1000" s="2" t="s">
        <v>209</v>
      </c>
      <c r="B1000" s="3">
        <v>46237</v>
      </c>
      <c r="C1000" s="2" t="s">
        <v>246</v>
      </c>
      <c r="D1000" s="2" t="s">
        <v>11</v>
      </c>
    </row>
    <row r="1001" spans="1:4" x14ac:dyDescent="0.35">
      <c r="A1001" s="2" t="s">
        <v>209</v>
      </c>
      <c r="B1001" s="3">
        <v>46272</v>
      </c>
      <c r="C1001" s="2" t="s">
        <v>246</v>
      </c>
      <c r="D1001" s="2" t="s">
        <v>11</v>
      </c>
    </row>
    <row r="1002" spans="1:4" x14ac:dyDescent="0.35">
      <c r="A1002" s="2" t="s">
        <v>209</v>
      </c>
      <c r="B1002" s="3">
        <v>46206</v>
      </c>
      <c r="C1002" s="2" t="s">
        <v>245</v>
      </c>
      <c r="D1002" s="2" t="s">
        <v>11</v>
      </c>
    </row>
    <row r="1003" spans="1:4" x14ac:dyDescent="0.35">
      <c r="A1003" s="2" t="s">
        <v>209</v>
      </c>
      <c r="B1003" s="3">
        <v>46224</v>
      </c>
      <c r="C1003" s="2" t="s">
        <v>245</v>
      </c>
      <c r="D1003" s="2" t="s">
        <v>11</v>
      </c>
    </row>
    <row r="1004" spans="1:4" x14ac:dyDescent="0.35">
      <c r="A1004" s="2" t="s">
        <v>209</v>
      </c>
      <c r="B1004" s="3">
        <v>46253</v>
      </c>
      <c r="C1004" s="2" t="s">
        <v>30</v>
      </c>
      <c r="D1004" s="2" t="s">
        <v>11</v>
      </c>
    </row>
    <row r="1005" spans="1:4" x14ac:dyDescent="0.35">
      <c r="A1005" s="2" t="s">
        <v>209</v>
      </c>
      <c r="B1005" s="3">
        <v>46274</v>
      </c>
      <c r="C1005" s="2" t="s">
        <v>30</v>
      </c>
      <c r="D1005" s="2" t="s">
        <v>11</v>
      </c>
    </row>
    <row r="1006" spans="1:4" x14ac:dyDescent="0.35">
      <c r="A1006" s="2" t="s">
        <v>209</v>
      </c>
      <c r="B1006" s="3">
        <v>46248</v>
      </c>
      <c r="C1006" s="2" t="s">
        <v>246</v>
      </c>
      <c r="D1006" s="2" t="s">
        <v>11</v>
      </c>
    </row>
    <row r="1007" spans="1:4" x14ac:dyDescent="0.35">
      <c r="A1007" s="2" t="s">
        <v>209</v>
      </c>
      <c r="B1007" s="3">
        <v>46290</v>
      </c>
      <c r="C1007" s="2" t="s">
        <v>246</v>
      </c>
      <c r="D1007" s="2" t="s">
        <v>11</v>
      </c>
    </row>
    <row r="1008" spans="1:4" x14ac:dyDescent="0.35">
      <c r="A1008" s="2" t="s">
        <v>209</v>
      </c>
      <c r="B1008" s="3">
        <v>46219</v>
      </c>
      <c r="C1008" s="2" t="s">
        <v>246</v>
      </c>
      <c r="D1008" s="2" t="s">
        <v>11</v>
      </c>
    </row>
    <row r="1009" spans="1:4" x14ac:dyDescent="0.35">
      <c r="A1009" s="2" t="s">
        <v>209</v>
      </c>
      <c r="B1009" s="3">
        <v>46220</v>
      </c>
      <c r="C1009" s="2" t="s">
        <v>246</v>
      </c>
      <c r="D1009" s="2" t="s">
        <v>11</v>
      </c>
    </row>
    <row r="1010" spans="1:4" x14ac:dyDescent="0.35">
      <c r="A1010" s="2" t="s">
        <v>211</v>
      </c>
      <c r="B1010" s="3">
        <v>46248</v>
      </c>
      <c r="C1010" s="2" t="s">
        <v>30</v>
      </c>
      <c r="D1010" s="2" t="s">
        <v>33</v>
      </c>
    </row>
    <row r="1011" spans="1:4" x14ac:dyDescent="0.35">
      <c r="A1011" s="2" t="s">
        <v>211</v>
      </c>
      <c r="B1011" s="3">
        <v>46255</v>
      </c>
      <c r="C1011" s="2" t="s">
        <v>30</v>
      </c>
      <c r="D1011" s="2" t="s">
        <v>33</v>
      </c>
    </row>
    <row r="1012" spans="1:4" x14ac:dyDescent="0.35">
      <c r="A1012" s="2" t="s">
        <v>211</v>
      </c>
      <c r="B1012" s="3">
        <v>46210</v>
      </c>
      <c r="C1012" s="2" t="s">
        <v>246</v>
      </c>
      <c r="D1012" s="2" t="s">
        <v>33</v>
      </c>
    </row>
    <row r="1013" spans="1:4" x14ac:dyDescent="0.35">
      <c r="A1013" s="2" t="s">
        <v>211</v>
      </c>
      <c r="B1013" s="3">
        <v>46247</v>
      </c>
      <c r="C1013" s="2" t="s">
        <v>30</v>
      </c>
      <c r="D1013" s="2" t="s">
        <v>33</v>
      </c>
    </row>
    <row r="1014" spans="1:4" x14ac:dyDescent="0.35">
      <c r="A1014" s="2" t="s">
        <v>211</v>
      </c>
      <c r="B1014" s="3">
        <v>46267</v>
      </c>
      <c r="C1014" s="2" t="s">
        <v>30</v>
      </c>
      <c r="D1014" s="2" t="s">
        <v>33</v>
      </c>
    </row>
    <row r="1015" spans="1:4" x14ac:dyDescent="0.35">
      <c r="A1015" s="2" t="s">
        <v>211</v>
      </c>
      <c r="B1015" s="3">
        <v>46276</v>
      </c>
      <c r="C1015" s="2" t="s">
        <v>246</v>
      </c>
      <c r="D1015" s="2" t="s">
        <v>33</v>
      </c>
    </row>
    <row r="1016" spans="1:4" x14ac:dyDescent="0.35">
      <c r="A1016" s="2" t="s">
        <v>211</v>
      </c>
      <c r="B1016" s="3">
        <v>46253</v>
      </c>
      <c r="C1016" s="2" t="s">
        <v>246</v>
      </c>
      <c r="D1016" s="2" t="s">
        <v>33</v>
      </c>
    </row>
    <row r="1017" spans="1:4" x14ac:dyDescent="0.35">
      <c r="A1017" s="2" t="s">
        <v>211</v>
      </c>
      <c r="B1017" s="3">
        <v>46205</v>
      </c>
      <c r="C1017" s="2" t="s">
        <v>246</v>
      </c>
      <c r="D1017" s="2" t="s">
        <v>33</v>
      </c>
    </row>
    <row r="1018" spans="1:4" x14ac:dyDescent="0.35">
      <c r="A1018" s="2" t="s">
        <v>211</v>
      </c>
      <c r="B1018" s="3">
        <v>46273</v>
      </c>
      <c r="C1018" s="2" t="s">
        <v>245</v>
      </c>
      <c r="D1018" s="2" t="s">
        <v>33</v>
      </c>
    </row>
    <row r="1019" spans="1:4" x14ac:dyDescent="0.35">
      <c r="A1019" s="2" t="s">
        <v>211</v>
      </c>
      <c r="B1019" s="3">
        <v>46240</v>
      </c>
      <c r="C1019" s="2" t="s">
        <v>246</v>
      </c>
      <c r="D1019" s="2" t="s">
        <v>33</v>
      </c>
    </row>
    <row r="1020" spans="1:4" x14ac:dyDescent="0.35">
      <c r="A1020" s="2" t="s">
        <v>211</v>
      </c>
      <c r="B1020" s="3">
        <v>46283</v>
      </c>
      <c r="C1020" s="2" t="s">
        <v>246</v>
      </c>
      <c r="D1020" s="2" t="s">
        <v>33</v>
      </c>
    </row>
    <row r="1021" spans="1:4" x14ac:dyDescent="0.35">
      <c r="A1021" s="2" t="s">
        <v>211</v>
      </c>
      <c r="B1021" s="3">
        <v>46218</v>
      </c>
      <c r="C1021" s="2" t="s">
        <v>246</v>
      </c>
      <c r="D1021" s="2" t="s">
        <v>33</v>
      </c>
    </row>
    <row r="1022" spans="1:4" x14ac:dyDescent="0.35">
      <c r="A1022" s="2" t="s">
        <v>213</v>
      </c>
      <c r="B1022" s="3">
        <v>46246</v>
      </c>
      <c r="C1022" s="2" t="s">
        <v>246</v>
      </c>
      <c r="D1022" s="2" t="s">
        <v>17</v>
      </c>
    </row>
    <row r="1023" spans="1:4" x14ac:dyDescent="0.35">
      <c r="A1023" s="2" t="s">
        <v>213</v>
      </c>
      <c r="B1023" s="3">
        <v>46272</v>
      </c>
      <c r="C1023" s="2" t="s">
        <v>246</v>
      </c>
      <c r="D1023" s="2" t="s">
        <v>17</v>
      </c>
    </row>
    <row r="1024" spans="1:4" x14ac:dyDescent="0.35">
      <c r="A1024" s="2" t="s">
        <v>213</v>
      </c>
      <c r="B1024" s="3">
        <v>46213</v>
      </c>
      <c r="C1024" s="2" t="s">
        <v>246</v>
      </c>
      <c r="D1024" s="2" t="s">
        <v>17</v>
      </c>
    </row>
    <row r="1025" spans="1:4" x14ac:dyDescent="0.35">
      <c r="A1025" s="2" t="s">
        <v>213</v>
      </c>
      <c r="B1025" s="3">
        <v>46266</v>
      </c>
      <c r="C1025" s="2" t="s">
        <v>30</v>
      </c>
      <c r="D1025" s="2" t="s">
        <v>17</v>
      </c>
    </row>
    <row r="1026" spans="1:4" x14ac:dyDescent="0.35">
      <c r="A1026" s="2" t="s">
        <v>213</v>
      </c>
      <c r="B1026" s="3">
        <v>46206</v>
      </c>
      <c r="C1026" s="2" t="s">
        <v>30</v>
      </c>
      <c r="D1026" s="2" t="s">
        <v>17</v>
      </c>
    </row>
    <row r="1027" spans="1:4" x14ac:dyDescent="0.35">
      <c r="A1027" s="2" t="s">
        <v>213</v>
      </c>
      <c r="B1027" s="3">
        <v>46282</v>
      </c>
      <c r="C1027" s="2" t="s">
        <v>247</v>
      </c>
      <c r="D1027" s="2" t="s">
        <v>17</v>
      </c>
    </row>
    <row r="1028" spans="1:4" x14ac:dyDescent="0.35">
      <c r="A1028" s="2" t="s">
        <v>213</v>
      </c>
      <c r="B1028" s="3">
        <v>46255</v>
      </c>
      <c r="C1028" s="2" t="s">
        <v>246</v>
      </c>
      <c r="D1028" s="2" t="s">
        <v>17</v>
      </c>
    </row>
    <row r="1029" spans="1:4" x14ac:dyDescent="0.35">
      <c r="A1029" s="2" t="s">
        <v>213</v>
      </c>
      <c r="B1029" s="3">
        <v>46218</v>
      </c>
      <c r="C1029" s="2" t="s">
        <v>246</v>
      </c>
      <c r="D1029" s="2" t="s">
        <v>17</v>
      </c>
    </row>
    <row r="1030" spans="1:4" x14ac:dyDescent="0.35">
      <c r="A1030" s="2" t="s">
        <v>213</v>
      </c>
      <c r="B1030" s="3">
        <v>46237</v>
      </c>
      <c r="C1030" s="2" t="s">
        <v>246</v>
      </c>
      <c r="D1030" s="2" t="s">
        <v>17</v>
      </c>
    </row>
    <row r="1031" spans="1:4" x14ac:dyDescent="0.35">
      <c r="A1031" s="2" t="s">
        <v>213</v>
      </c>
      <c r="B1031" s="3">
        <v>46286</v>
      </c>
      <c r="C1031" s="2" t="s">
        <v>247</v>
      </c>
      <c r="D1031" s="2" t="s">
        <v>17</v>
      </c>
    </row>
    <row r="1032" spans="1:4" x14ac:dyDescent="0.35">
      <c r="A1032" s="2" t="s">
        <v>213</v>
      </c>
      <c r="B1032" s="3">
        <v>46252</v>
      </c>
      <c r="C1032" s="2" t="s">
        <v>246</v>
      </c>
      <c r="D1032" s="2" t="s">
        <v>17</v>
      </c>
    </row>
    <row r="1033" spans="1:4" x14ac:dyDescent="0.35">
      <c r="A1033" s="2" t="s">
        <v>213</v>
      </c>
      <c r="B1033" s="3">
        <v>46245</v>
      </c>
      <c r="C1033" s="2" t="s">
        <v>246</v>
      </c>
      <c r="D1033" s="2" t="s">
        <v>17</v>
      </c>
    </row>
    <row r="1034" spans="1:4" x14ac:dyDescent="0.35">
      <c r="A1034" s="2" t="s">
        <v>215</v>
      </c>
      <c r="B1034" s="3">
        <v>46289</v>
      </c>
      <c r="C1034" s="2" t="s">
        <v>30</v>
      </c>
      <c r="D1034" s="2" t="s">
        <v>41</v>
      </c>
    </row>
    <row r="1035" spans="1:4" x14ac:dyDescent="0.35">
      <c r="A1035" s="2" t="s">
        <v>215</v>
      </c>
      <c r="B1035" s="3">
        <v>46237</v>
      </c>
      <c r="C1035" s="2" t="s">
        <v>246</v>
      </c>
      <c r="D1035" s="2" t="s">
        <v>41</v>
      </c>
    </row>
    <row r="1036" spans="1:4" x14ac:dyDescent="0.35">
      <c r="A1036" s="2" t="s">
        <v>215</v>
      </c>
      <c r="B1036" s="3">
        <v>46286</v>
      </c>
      <c r="C1036" s="2" t="s">
        <v>245</v>
      </c>
      <c r="D1036" s="2" t="s">
        <v>41</v>
      </c>
    </row>
    <row r="1037" spans="1:4" x14ac:dyDescent="0.35">
      <c r="A1037" s="2" t="s">
        <v>215</v>
      </c>
      <c r="B1037" s="3">
        <v>46259</v>
      </c>
      <c r="C1037" s="2" t="s">
        <v>246</v>
      </c>
      <c r="D1037" s="2" t="s">
        <v>41</v>
      </c>
    </row>
    <row r="1038" spans="1:4" x14ac:dyDescent="0.35">
      <c r="A1038" s="2" t="s">
        <v>215</v>
      </c>
      <c r="B1038" s="3">
        <v>46265</v>
      </c>
      <c r="C1038" s="2" t="s">
        <v>246</v>
      </c>
      <c r="D1038" s="2" t="s">
        <v>41</v>
      </c>
    </row>
    <row r="1039" spans="1:4" x14ac:dyDescent="0.35">
      <c r="A1039" s="2" t="s">
        <v>215</v>
      </c>
      <c r="B1039" s="3">
        <v>46230</v>
      </c>
      <c r="C1039" s="2" t="s">
        <v>247</v>
      </c>
      <c r="D1039" s="2" t="s">
        <v>41</v>
      </c>
    </row>
    <row r="1040" spans="1:4" x14ac:dyDescent="0.35">
      <c r="A1040" s="2" t="s">
        <v>215</v>
      </c>
      <c r="B1040" s="3">
        <v>46233</v>
      </c>
      <c r="C1040" s="2" t="s">
        <v>246</v>
      </c>
      <c r="D1040" s="2" t="s">
        <v>41</v>
      </c>
    </row>
    <row r="1041" spans="1:4" x14ac:dyDescent="0.35">
      <c r="A1041" s="2" t="s">
        <v>215</v>
      </c>
      <c r="B1041" s="3">
        <v>46293</v>
      </c>
      <c r="C1041" s="2" t="s">
        <v>30</v>
      </c>
      <c r="D1041" s="2" t="s">
        <v>41</v>
      </c>
    </row>
    <row r="1042" spans="1:4" x14ac:dyDescent="0.35">
      <c r="A1042" s="2" t="s">
        <v>215</v>
      </c>
      <c r="B1042" s="3">
        <v>46261</v>
      </c>
      <c r="C1042" s="2" t="s">
        <v>246</v>
      </c>
      <c r="D1042" s="2" t="s">
        <v>41</v>
      </c>
    </row>
    <row r="1043" spans="1:4" x14ac:dyDescent="0.35">
      <c r="A1043" s="2" t="s">
        <v>215</v>
      </c>
      <c r="B1043" s="3">
        <v>46282</v>
      </c>
      <c r="C1043" s="2" t="s">
        <v>246</v>
      </c>
      <c r="D1043" s="2" t="s">
        <v>41</v>
      </c>
    </row>
    <row r="1044" spans="1:4" x14ac:dyDescent="0.35">
      <c r="A1044" s="2" t="s">
        <v>215</v>
      </c>
      <c r="B1044" s="3">
        <v>46255</v>
      </c>
      <c r="C1044" s="2" t="s">
        <v>247</v>
      </c>
      <c r="D1044" s="2" t="s">
        <v>41</v>
      </c>
    </row>
    <row r="1045" spans="1:4" x14ac:dyDescent="0.35">
      <c r="A1045" s="2" t="s">
        <v>215</v>
      </c>
      <c r="B1045" s="3">
        <v>46213</v>
      </c>
      <c r="C1045" s="2" t="s">
        <v>247</v>
      </c>
      <c r="D1045" s="2" t="s">
        <v>41</v>
      </c>
    </row>
    <row r="1046" spans="1:4" x14ac:dyDescent="0.35">
      <c r="A1046" s="2" t="s">
        <v>217</v>
      </c>
      <c r="B1046" s="3">
        <v>46265</v>
      </c>
      <c r="C1046" s="2" t="s">
        <v>30</v>
      </c>
      <c r="D1046" s="2" t="s">
        <v>41</v>
      </c>
    </row>
    <row r="1047" spans="1:4" x14ac:dyDescent="0.35">
      <c r="A1047" s="2" t="s">
        <v>217</v>
      </c>
      <c r="B1047" s="3">
        <v>46211</v>
      </c>
      <c r="C1047" s="2" t="s">
        <v>245</v>
      </c>
      <c r="D1047" s="2" t="s">
        <v>41</v>
      </c>
    </row>
    <row r="1048" spans="1:4" x14ac:dyDescent="0.35">
      <c r="A1048" s="2" t="s">
        <v>217</v>
      </c>
      <c r="B1048" s="3">
        <v>46283</v>
      </c>
      <c r="C1048" s="2" t="s">
        <v>247</v>
      </c>
      <c r="D1048" s="2" t="s">
        <v>41</v>
      </c>
    </row>
    <row r="1049" spans="1:4" x14ac:dyDescent="0.35">
      <c r="A1049" s="2" t="s">
        <v>217</v>
      </c>
      <c r="B1049" s="3">
        <v>46290</v>
      </c>
      <c r="C1049" s="2" t="s">
        <v>30</v>
      </c>
      <c r="D1049" s="2" t="s">
        <v>41</v>
      </c>
    </row>
    <row r="1050" spans="1:4" x14ac:dyDescent="0.35">
      <c r="A1050" s="2" t="s">
        <v>217</v>
      </c>
      <c r="B1050" s="3">
        <v>46210</v>
      </c>
      <c r="C1050" s="2" t="s">
        <v>30</v>
      </c>
      <c r="D1050" s="2" t="s">
        <v>41</v>
      </c>
    </row>
    <row r="1051" spans="1:4" x14ac:dyDescent="0.35">
      <c r="A1051" s="2" t="s">
        <v>217</v>
      </c>
      <c r="B1051" s="3">
        <v>46260</v>
      </c>
      <c r="C1051" s="2" t="s">
        <v>246</v>
      </c>
      <c r="D1051" s="2" t="s">
        <v>41</v>
      </c>
    </row>
    <row r="1052" spans="1:4" x14ac:dyDescent="0.35">
      <c r="A1052" s="2" t="s">
        <v>217</v>
      </c>
      <c r="B1052" s="3">
        <v>46267</v>
      </c>
      <c r="C1052" s="2" t="s">
        <v>246</v>
      </c>
      <c r="D1052" s="2" t="s">
        <v>41</v>
      </c>
    </row>
    <row r="1053" spans="1:4" x14ac:dyDescent="0.35">
      <c r="A1053" s="2" t="s">
        <v>217</v>
      </c>
      <c r="B1053" s="3">
        <v>46255</v>
      </c>
      <c r="C1053" s="2" t="s">
        <v>246</v>
      </c>
      <c r="D1053" s="2" t="s">
        <v>41</v>
      </c>
    </row>
    <row r="1054" spans="1:4" x14ac:dyDescent="0.35">
      <c r="A1054" s="2" t="s">
        <v>217</v>
      </c>
      <c r="B1054" s="3">
        <v>46245</v>
      </c>
      <c r="C1054" s="2" t="s">
        <v>246</v>
      </c>
      <c r="D1054" s="2" t="s">
        <v>41</v>
      </c>
    </row>
    <row r="1055" spans="1:4" x14ac:dyDescent="0.35">
      <c r="A1055" s="2" t="s">
        <v>217</v>
      </c>
      <c r="B1055" s="3">
        <v>46233</v>
      </c>
      <c r="C1055" s="2" t="s">
        <v>30</v>
      </c>
      <c r="D1055" s="2" t="s">
        <v>41</v>
      </c>
    </row>
    <row r="1056" spans="1:4" x14ac:dyDescent="0.35">
      <c r="A1056" s="2" t="s">
        <v>217</v>
      </c>
      <c r="B1056" s="3">
        <v>46212</v>
      </c>
      <c r="C1056" s="2" t="s">
        <v>246</v>
      </c>
      <c r="D1056" s="2" t="s">
        <v>41</v>
      </c>
    </row>
    <row r="1057" spans="1:4" x14ac:dyDescent="0.35">
      <c r="A1057" s="2" t="s">
        <v>217</v>
      </c>
      <c r="B1057" s="3">
        <v>46225</v>
      </c>
      <c r="C1057" s="2" t="s">
        <v>247</v>
      </c>
      <c r="D1057" s="2" t="s">
        <v>41</v>
      </c>
    </row>
    <row r="1058" spans="1:4" x14ac:dyDescent="0.35">
      <c r="A1058" s="2" t="s">
        <v>219</v>
      </c>
      <c r="B1058" s="3">
        <v>46210</v>
      </c>
      <c r="C1058" s="2" t="s">
        <v>246</v>
      </c>
      <c r="D1058" s="2" t="s">
        <v>41</v>
      </c>
    </row>
    <row r="1059" spans="1:4" x14ac:dyDescent="0.35">
      <c r="A1059" s="2" t="s">
        <v>219</v>
      </c>
      <c r="B1059" s="3">
        <v>46204</v>
      </c>
      <c r="C1059" s="2" t="s">
        <v>246</v>
      </c>
      <c r="D1059" s="2" t="s">
        <v>41</v>
      </c>
    </row>
    <row r="1060" spans="1:4" x14ac:dyDescent="0.35">
      <c r="A1060" s="2" t="s">
        <v>219</v>
      </c>
      <c r="B1060" s="3">
        <v>46240</v>
      </c>
      <c r="C1060" s="2" t="s">
        <v>30</v>
      </c>
      <c r="D1060" s="2" t="s">
        <v>41</v>
      </c>
    </row>
    <row r="1061" spans="1:4" x14ac:dyDescent="0.35">
      <c r="A1061" s="2" t="s">
        <v>219</v>
      </c>
      <c r="B1061" s="3">
        <v>46253</v>
      </c>
      <c r="C1061" s="2" t="s">
        <v>245</v>
      </c>
      <c r="D1061" s="2" t="s">
        <v>41</v>
      </c>
    </row>
    <row r="1062" spans="1:4" x14ac:dyDescent="0.35">
      <c r="A1062" s="2" t="s">
        <v>219</v>
      </c>
      <c r="B1062" s="3">
        <v>46254</v>
      </c>
      <c r="C1062" s="2" t="s">
        <v>246</v>
      </c>
      <c r="D1062" s="2" t="s">
        <v>41</v>
      </c>
    </row>
    <row r="1063" spans="1:4" x14ac:dyDescent="0.35">
      <c r="A1063" s="2" t="s">
        <v>219</v>
      </c>
      <c r="B1063" s="3">
        <v>46280</v>
      </c>
      <c r="C1063" s="2" t="s">
        <v>247</v>
      </c>
      <c r="D1063" s="2" t="s">
        <v>41</v>
      </c>
    </row>
    <row r="1064" spans="1:4" x14ac:dyDescent="0.35">
      <c r="A1064" s="2" t="s">
        <v>219</v>
      </c>
      <c r="B1064" s="3">
        <v>46259</v>
      </c>
      <c r="C1064" s="2" t="s">
        <v>246</v>
      </c>
      <c r="D1064" s="2" t="s">
        <v>41</v>
      </c>
    </row>
    <row r="1065" spans="1:4" x14ac:dyDescent="0.35">
      <c r="A1065" s="2" t="s">
        <v>219</v>
      </c>
      <c r="B1065" s="3">
        <v>46233</v>
      </c>
      <c r="C1065" s="2" t="s">
        <v>247</v>
      </c>
      <c r="D1065" s="2" t="s">
        <v>41</v>
      </c>
    </row>
    <row r="1066" spans="1:4" x14ac:dyDescent="0.35">
      <c r="A1066" s="2" t="s">
        <v>219</v>
      </c>
      <c r="B1066" s="3">
        <v>46268</v>
      </c>
      <c r="C1066" s="2" t="s">
        <v>246</v>
      </c>
      <c r="D1066" s="2" t="s">
        <v>41</v>
      </c>
    </row>
    <row r="1067" spans="1:4" x14ac:dyDescent="0.35">
      <c r="A1067" s="2" t="s">
        <v>219</v>
      </c>
      <c r="B1067" s="3">
        <v>46230</v>
      </c>
      <c r="C1067" s="2" t="s">
        <v>247</v>
      </c>
      <c r="D1067" s="2" t="s">
        <v>41</v>
      </c>
    </row>
    <row r="1068" spans="1:4" x14ac:dyDescent="0.35">
      <c r="A1068" s="2" t="s">
        <v>219</v>
      </c>
      <c r="B1068" s="3">
        <v>46295</v>
      </c>
      <c r="C1068" s="2" t="s">
        <v>246</v>
      </c>
      <c r="D1068" s="2" t="s">
        <v>41</v>
      </c>
    </row>
    <row r="1069" spans="1:4" x14ac:dyDescent="0.35">
      <c r="A1069" s="2" t="s">
        <v>219</v>
      </c>
      <c r="B1069" s="3">
        <v>46238</v>
      </c>
      <c r="C1069" s="2" t="s">
        <v>246</v>
      </c>
      <c r="D1069" s="2" t="s">
        <v>41</v>
      </c>
    </row>
    <row r="1070" spans="1:4" x14ac:dyDescent="0.35">
      <c r="A1070" s="2" t="s">
        <v>221</v>
      </c>
      <c r="B1070" s="3">
        <v>46225</v>
      </c>
      <c r="C1070" s="2" t="s">
        <v>245</v>
      </c>
      <c r="D1070" s="2" t="s">
        <v>22</v>
      </c>
    </row>
    <row r="1071" spans="1:4" x14ac:dyDescent="0.35">
      <c r="A1071" s="2" t="s">
        <v>221</v>
      </c>
      <c r="B1071" s="3">
        <v>46295</v>
      </c>
      <c r="C1071" s="2" t="s">
        <v>245</v>
      </c>
      <c r="D1071" s="2" t="s">
        <v>22</v>
      </c>
    </row>
    <row r="1072" spans="1:4" x14ac:dyDescent="0.35">
      <c r="A1072" s="2" t="s">
        <v>221</v>
      </c>
      <c r="B1072" s="3">
        <v>46212</v>
      </c>
      <c r="C1072" s="2" t="s">
        <v>247</v>
      </c>
      <c r="D1072" s="2" t="s">
        <v>22</v>
      </c>
    </row>
    <row r="1073" spans="1:4" x14ac:dyDescent="0.35">
      <c r="A1073" s="2" t="s">
        <v>221</v>
      </c>
      <c r="B1073" s="3">
        <v>46269</v>
      </c>
      <c r="C1073" s="2" t="s">
        <v>246</v>
      </c>
      <c r="D1073" s="2" t="s">
        <v>22</v>
      </c>
    </row>
    <row r="1074" spans="1:4" x14ac:dyDescent="0.35">
      <c r="A1074" s="2" t="s">
        <v>221</v>
      </c>
      <c r="B1074" s="3">
        <v>46282</v>
      </c>
      <c r="C1074" s="2" t="s">
        <v>245</v>
      </c>
      <c r="D1074" s="2" t="s">
        <v>22</v>
      </c>
    </row>
    <row r="1075" spans="1:4" x14ac:dyDescent="0.35">
      <c r="A1075" s="2" t="s">
        <v>221</v>
      </c>
      <c r="B1075" s="3">
        <v>46267</v>
      </c>
      <c r="C1075" s="2" t="s">
        <v>247</v>
      </c>
      <c r="D1075" s="2" t="s">
        <v>22</v>
      </c>
    </row>
    <row r="1076" spans="1:4" x14ac:dyDescent="0.35">
      <c r="A1076" s="2" t="s">
        <v>221</v>
      </c>
      <c r="B1076" s="3">
        <v>46272</v>
      </c>
      <c r="C1076" s="2" t="s">
        <v>30</v>
      </c>
      <c r="D1076" s="2" t="s">
        <v>22</v>
      </c>
    </row>
    <row r="1077" spans="1:4" x14ac:dyDescent="0.35">
      <c r="A1077" s="2" t="s">
        <v>221</v>
      </c>
      <c r="B1077" s="3">
        <v>46289</v>
      </c>
      <c r="C1077" s="2" t="s">
        <v>30</v>
      </c>
      <c r="D1077" s="2" t="s">
        <v>22</v>
      </c>
    </row>
    <row r="1078" spans="1:4" x14ac:dyDescent="0.35">
      <c r="A1078" s="2" t="s">
        <v>221</v>
      </c>
      <c r="B1078" s="3">
        <v>46240</v>
      </c>
      <c r="C1078" s="2" t="s">
        <v>246</v>
      </c>
      <c r="D1078" s="2" t="s">
        <v>22</v>
      </c>
    </row>
    <row r="1079" spans="1:4" x14ac:dyDescent="0.35">
      <c r="A1079" s="2" t="s">
        <v>221</v>
      </c>
      <c r="B1079" s="3">
        <v>46231</v>
      </c>
      <c r="C1079" s="2" t="s">
        <v>247</v>
      </c>
      <c r="D1079" s="2" t="s">
        <v>22</v>
      </c>
    </row>
    <row r="1080" spans="1:4" x14ac:dyDescent="0.35">
      <c r="A1080" s="2" t="s">
        <v>221</v>
      </c>
      <c r="B1080" s="3">
        <v>46290</v>
      </c>
      <c r="C1080" s="2" t="s">
        <v>30</v>
      </c>
      <c r="D1080" s="2" t="s">
        <v>22</v>
      </c>
    </row>
    <row r="1081" spans="1:4" x14ac:dyDescent="0.35">
      <c r="A1081" s="2" t="s">
        <v>221</v>
      </c>
      <c r="B1081" s="3">
        <v>46294</v>
      </c>
      <c r="C1081" s="2" t="s">
        <v>247</v>
      </c>
      <c r="D1081" s="2" t="s">
        <v>22</v>
      </c>
    </row>
    <row r="1082" spans="1:4" x14ac:dyDescent="0.35">
      <c r="A1082" s="2" t="s">
        <v>223</v>
      </c>
      <c r="B1082" s="3">
        <v>46253</v>
      </c>
      <c r="C1082" s="2" t="s">
        <v>247</v>
      </c>
      <c r="D1082" s="2" t="s">
        <v>33</v>
      </c>
    </row>
    <row r="1083" spans="1:4" x14ac:dyDescent="0.35">
      <c r="A1083" s="2" t="s">
        <v>223</v>
      </c>
      <c r="B1083" s="3">
        <v>46287</v>
      </c>
      <c r="C1083" s="2" t="s">
        <v>30</v>
      </c>
      <c r="D1083" s="2" t="s">
        <v>33</v>
      </c>
    </row>
    <row r="1084" spans="1:4" x14ac:dyDescent="0.35">
      <c r="A1084" s="2" t="s">
        <v>223</v>
      </c>
      <c r="B1084" s="3">
        <v>46251</v>
      </c>
      <c r="C1084" s="2" t="s">
        <v>245</v>
      </c>
      <c r="D1084" s="2" t="s">
        <v>33</v>
      </c>
    </row>
    <row r="1085" spans="1:4" x14ac:dyDescent="0.35">
      <c r="A1085" s="2" t="s">
        <v>223</v>
      </c>
      <c r="B1085" s="3">
        <v>46276</v>
      </c>
      <c r="C1085" s="2" t="s">
        <v>247</v>
      </c>
      <c r="D1085" s="2" t="s">
        <v>33</v>
      </c>
    </row>
    <row r="1086" spans="1:4" x14ac:dyDescent="0.35">
      <c r="A1086" s="2" t="s">
        <v>223</v>
      </c>
      <c r="B1086" s="3">
        <v>46230</v>
      </c>
      <c r="C1086" s="2" t="s">
        <v>246</v>
      </c>
      <c r="D1086" s="2" t="s">
        <v>33</v>
      </c>
    </row>
    <row r="1087" spans="1:4" x14ac:dyDescent="0.35">
      <c r="A1087" s="2" t="s">
        <v>223</v>
      </c>
      <c r="B1087" s="3">
        <v>46262</v>
      </c>
      <c r="C1087" s="2" t="s">
        <v>245</v>
      </c>
      <c r="D1087" s="2" t="s">
        <v>33</v>
      </c>
    </row>
    <row r="1088" spans="1:4" x14ac:dyDescent="0.35">
      <c r="A1088" s="2" t="s">
        <v>223</v>
      </c>
      <c r="B1088" s="3">
        <v>46220</v>
      </c>
      <c r="C1088" s="2" t="s">
        <v>246</v>
      </c>
      <c r="D1088" s="2" t="s">
        <v>33</v>
      </c>
    </row>
    <row r="1089" spans="1:4" x14ac:dyDescent="0.35">
      <c r="A1089" s="2" t="s">
        <v>223</v>
      </c>
      <c r="B1089" s="3">
        <v>46252</v>
      </c>
      <c r="C1089" s="2" t="s">
        <v>246</v>
      </c>
      <c r="D1089" s="2" t="s">
        <v>33</v>
      </c>
    </row>
    <row r="1090" spans="1:4" x14ac:dyDescent="0.35">
      <c r="A1090" s="2" t="s">
        <v>223</v>
      </c>
      <c r="B1090" s="3">
        <v>46254</v>
      </c>
      <c r="C1090" s="2" t="s">
        <v>246</v>
      </c>
      <c r="D1090" s="2" t="s">
        <v>33</v>
      </c>
    </row>
    <row r="1091" spans="1:4" x14ac:dyDescent="0.35">
      <c r="A1091" s="2" t="s">
        <v>223</v>
      </c>
      <c r="B1091" s="3">
        <v>46206</v>
      </c>
      <c r="C1091" s="2" t="s">
        <v>246</v>
      </c>
      <c r="D1091" s="2" t="s">
        <v>33</v>
      </c>
    </row>
    <row r="1092" spans="1:4" x14ac:dyDescent="0.35">
      <c r="A1092" s="2" t="s">
        <v>223</v>
      </c>
      <c r="B1092" s="3">
        <v>46209</v>
      </c>
      <c r="C1092" s="2" t="s">
        <v>246</v>
      </c>
      <c r="D1092" s="2" t="s">
        <v>33</v>
      </c>
    </row>
    <row r="1093" spans="1:4" x14ac:dyDescent="0.35">
      <c r="A1093" s="2" t="s">
        <v>223</v>
      </c>
      <c r="B1093" s="3">
        <v>46225</v>
      </c>
      <c r="C1093" s="2" t="s">
        <v>245</v>
      </c>
      <c r="D1093" s="2" t="s">
        <v>33</v>
      </c>
    </row>
    <row r="1094" spans="1:4" x14ac:dyDescent="0.35">
      <c r="A1094" s="2" t="s">
        <v>225</v>
      </c>
      <c r="B1094" s="3">
        <v>46275</v>
      </c>
      <c r="C1094" s="2" t="s">
        <v>245</v>
      </c>
      <c r="D1094" s="2" t="s">
        <v>41</v>
      </c>
    </row>
    <row r="1095" spans="1:4" x14ac:dyDescent="0.35">
      <c r="A1095" s="2" t="s">
        <v>225</v>
      </c>
      <c r="B1095" s="3">
        <v>46231</v>
      </c>
      <c r="C1095" s="2" t="s">
        <v>247</v>
      </c>
      <c r="D1095" s="2" t="s">
        <v>41</v>
      </c>
    </row>
    <row r="1096" spans="1:4" x14ac:dyDescent="0.35">
      <c r="A1096" s="2" t="s">
        <v>225</v>
      </c>
      <c r="B1096" s="3">
        <v>46211</v>
      </c>
      <c r="C1096" s="2" t="s">
        <v>30</v>
      </c>
      <c r="D1096" s="2" t="s">
        <v>41</v>
      </c>
    </row>
    <row r="1097" spans="1:4" x14ac:dyDescent="0.35">
      <c r="A1097" s="2" t="s">
        <v>225</v>
      </c>
      <c r="B1097" s="3">
        <v>46279</v>
      </c>
      <c r="C1097" s="2" t="s">
        <v>246</v>
      </c>
      <c r="D1097" s="2" t="s">
        <v>41</v>
      </c>
    </row>
    <row r="1098" spans="1:4" x14ac:dyDescent="0.35">
      <c r="A1098" s="2" t="s">
        <v>225</v>
      </c>
      <c r="B1098" s="3">
        <v>46290</v>
      </c>
      <c r="C1098" s="2" t="s">
        <v>245</v>
      </c>
      <c r="D1098" s="2" t="s">
        <v>41</v>
      </c>
    </row>
    <row r="1099" spans="1:4" x14ac:dyDescent="0.35">
      <c r="A1099" s="2" t="s">
        <v>225</v>
      </c>
      <c r="B1099" s="3">
        <v>46223</v>
      </c>
      <c r="C1099" s="2" t="s">
        <v>246</v>
      </c>
      <c r="D1099" s="2" t="s">
        <v>41</v>
      </c>
    </row>
    <row r="1100" spans="1:4" x14ac:dyDescent="0.35">
      <c r="A1100" s="2" t="s">
        <v>225</v>
      </c>
      <c r="B1100" s="3">
        <v>46289</v>
      </c>
      <c r="C1100" s="2" t="s">
        <v>245</v>
      </c>
      <c r="D1100" s="2" t="s">
        <v>41</v>
      </c>
    </row>
    <row r="1101" spans="1:4" x14ac:dyDescent="0.35">
      <c r="A1101" s="2" t="s">
        <v>225</v>
      </c>
      <c r="B1101" s="3">
        <v>46240</v>
      </c>
      <c r="C1101" s="2" t="s">
        <v>246</v>
      </c>
      <c r="D1101" s="2" t="s">
        <v>41</v>
      </c>
    </row>
    <row r="1102" spans="1:4" x14ac:dyDescent="0.35">
      <c r="A1102" s="2" t="s">
        <v>225</v>
      </c>
      <c r="B1102" s="3">
        <v>46246</v>
      </c>
      <c r="C1102" s="2" t="s">
        <v>247</v>
      </c>
      <c r="D1102" s="2" t="s">
        <v>41</v>
      </c>
    </row>
    <row r="1103" spans="1:4" x14ac:dyDescent="0.35">
      <c r="A1103" s="2" t="s">
        <v>225</v>
      </c>
      <c r="B1103" s="3">
        <v>46260</v>
      </c>
      <c r="C1103" s="2" t="s">
        <v>247</v>
      </c>
      <c r="D1103" s="2" t="s">
        <v>41</v>
      </c>
    </row>
    <row r="1104" spans="1:4" x14ac:dyDescent="0.35">
      <c r="A1104" s="2" t="s">
        <v>225</v>
      </c>
      <c r="B1104" s="3">
        <v>46226</v>
      </c>
      <c r="C1104" s="2" t="s">
        <v>247</v>
      </c>
      <c r="D1104" s="2" t="s">
        <v>41</v>
      </c>
    </row>
    <row r="1105" spans="1:4" x14ac:dyDescent="0.35">
      <c r="A1105" s="2" t="s">
        <v>225</v>
      </c>
      <c r="B1105" s="3">
        <v>46232</v>
      </c>
      <c r="C1105" s="2" t="s">
        <v>247</v>
      </c>
      <c r="D1105" s="2" t="s">
        <v>41</v>
      </c>
    </row>
    <row r="1106" spans="1:4" x14ac:dyDescent="0.35">
      <c r="A1106" s="2" t="s">
        <v>227</v>
      </c>
      <c r="B1106" s="3">
        <v>46283</v>
      </c>
      <c r="C1106" s="2" t="s">
        <v>246</v>
      </c>
      <c r="D1106" s="2" t="s">
        <v>41</v>
      </c>
    </row>
    <row r="1107" spans="1:4" x14ac:dyDescent="0.35">
      <c r="A1107" s="2" t="s">
        <v>227</v>
      </c>
      <c r="B1107" s="3">
        <v>46274</v>
      </c>
      <c r="C1107" s="2" t="s">
        <v>246</v>
      </c>
      <c r="D1107" s="2" t="s">
        <v>41</v>
      </c>
    </row>
    <row r="1108" spans="1:4" x14ac:dyDescent="0.35">
      <c r="A1108" s="2" t="s">
        <v>227</v>
      </c>
      <c r="B1108" s="3">
        <v>46255</v>
      </c>
      <c r="C1108" s="2" t="s">
        <v>30</v>
      </c>
      <c r="D1108" s="2" t="s">
        <v>41</v>
      </c>
    </row>
    <row r="1109" spans="1:4" x14ac:dyDescent="0.35">
      <c r="A1109" s="2" t="s">
        <v>227</v>
      </c>
      <c r="B1109" s="3">
        <v>46227</v>
      </c>
      <c r="C1109" s="2" t="s">
        <v>246</v>
      </c>
      <c r="D1109" s="2" t="s">
        <v>41</v>
      </c>
    </row>
    <row r="1110" spans="1:4" x14ac:dyDescent="0.35">
      <c r="A1110" s="2" t="s">
        <v>227</v>
      </c>
      <c r="B1110" s="3">
        <v>46204</v>
      </c>
      <c r="C1110" s="2" t="s">
        <v>246</v>
      </c>
      <c r="D1110" s="2" t="s">
        <v>41</v>
      </c>
    </row>
    <row r="1111" spans="1:4" x14ac:dyDescent="0.35">
      <c r="A1111" s="2" t="s">
        <v>227</v>
      </c>
      <c r="B1111" s="3">
        <v>46206</v>
      </c>
      <c r="C1111" s="2" t="s">
        <v>246</v>
      </c>
      <c r="D1111" s="2" t="s">
        <v>41</v>
      </c>
    </row>
    <row r="1112" spans="1:4" x14ac:dyDescent="0.35">
      <c r="A1112" s="2" t="s">
        <v>227</v>
      </c>
      <c r="B1112" s="3">
        <v>46232</v>
      </c>
      <c r="C1112" s="2" t="s">
        <v>30</v>
      </c>
      <c r="D1112" s="2" t="s">
        <v>41</v>
      </c>
    </row>
    <row r="1113" spans="1:4" x14ac:dyDescent="0.35">
      <c r="A1113" s="2" t="s">
        <v>227</v>
      </c>
      <c r="B1113" s="3">
        <v>46226</v>
      </c>
      <c r="C1113" s="2" t="s">
        <v>245</v>
      </c>
      <c r="D1113" s="2" t="s">
        <v>41</v>
      </c>
    </row>
    <row r="1114" spans="1:4" x14ac:dyDescent="0.35">
      <c r="A1114" s="2" t="s">
        <v>227</v>
      </c>
      <c r="B1114" s="3">
        <v>46273</v>
      </c>
      <c r="C1114" s="2" t="s">
        <v>247</v>
      </c>
      <c r="D1114" s="2" t="s">
        <v>41</v>
      </c>
    </row>
    <row r="1115" spans="1:4" x14ac:dyDescent="0.35">
      <c r="A1115" s="2" t="s">
        <v>227</v>
      </c>
      <c r="B1115" s="3">
        <v>46258</v>
      </c>
      <c r="C1115" s="2" t="s">
        <v>246</v>
      </c>
      <c r="D1115" s="2" t="s">
        <v>41</v>
      </c>
    </row>
    <row r="1116" spans="1:4" x14ac:dyDescent="0.35">
      <c r="A1116" s="2" t="s">
        <v>227</v>
      </c>
      <c r="B1116" s="3">
        <v>46282</v>
      </c>
      <c r="C1116" s="2" t="s">
        <v>247</v>
      </c>
      <c r="D1116" s="2" t="s">
        <v>41</v>
      </c>
    </row>
    <row r="1117" spans="1:4" x14ac:dyDescent="0.35">
      <c r="A1117" s="2" t="s">
        <v>227</v>
      </c>
      <c r="B1117" s="3">
        <v>46233</v>
      </c>
      <c r="C1117" s="2" t="s">
        <v>246</v>
      </c>
      <c r="D1117" s="2" t="s">
        <v>41</v>
      </c>
    </row>
    <row r="1118" spans="1:4" x14ac:dyDescent="0.35">
      <c r="A1118" s="2" t="s">
        <v>229</v>
      </c>
      <c r="B1118" s="3">
        <v>46254</v>
      </c>
      <c r="C1118" s="2" t="s">
        <v>246</v>
      </c>
      <c r="D1118" s="2" t="s">
        <v>17</v>
      </c>
    </row>
    <row r="1119" spans="1:4" x14ac:dyDescent="0.35">
      <c r="A1119" s="2" t="s">
        <v>229</v>
      </c>
      <c r="B1119" s="3">
        <v>46260</v>
      </c>
      <c r="C1119" s="2" t="s">
        <v>247</v>
      </c>
      <c r="D1119" s="2" t="s">
        <v>17</v>
      </c>
    </row>
    <row r="1120" spans="1:4" x14ac:dyDescent="0.35">
      <c r="A1120" s="2" t="s">
        <v>229</v>
      </c>
      <c r="B1120" s="3">
        <v>46231</v>
      </c>
      <c r="C1120" s="2" t="s">
        <v>247</v>
      </c>
      <c r="D1120" s="2" t="s">
        <v>17</v>
      </c>
    </row>
    <row r="1121" spans="1:4" x14ac:dyDescent="0.35">
      <c r="A1121" s="2" t="s">
        <v>229</v>
      </c>
      <c r="B1121" s="3">
        <v>46283</v>
      </c>
      <c r="C1121" s="2" t="s">
        <v>246</v>
      </c>
      <c r="D1121" s="2" t="s">
        <v>17</v>
      </c>
    </row>
    <row r="1122" spans="1:4" x14ac:dyDescent="0.35">
      <c r="A1122" s="2" t="s">
        <v>229</v>
      </c>
      <c r="B1122" s="3">
        <v>46245</v>
      </c>
      <c r="C1122" s="2" t="s">
        <v>30</v>
      </c>
      <c r="D1122" s="2" t="s">
        <v>17</v>
      </c>
    </row>
    <row r="1123" spans="1:4" x14ac:dyDescent="0.35">
      <c r="A1123" s="2" t="s">
        <v>229</v>
      </c>
      <c r="B1123" s="3">
        <v>46218</v>
      </c>
      <c r="C1123" s="2" t="s">
        <v>247</v>
      </c>
      <c r="D1123" s="2" t="s">
        <v>17</v>
      </c>
    </row>
    <row r="1124" spans="1:4" x14ac:dyDescent="0.35">
      <c r="A1124" s="2" t="s">
        <v>229</v>
      </c>
      <c r="B1124" s="3">
        <v>46266</v>
      </c>
      <c r="C1124" s="2" t="s">
        <v>246</v>
      </c>
      <c r="D1124" s="2" t="s">
        <v>17</v>
      </c>
    </row>
    <row r="1125" spans="1:4" x14ac:dyDescent="0.35">
      <c r="A1125" s="2" t="s">
        <v>229</v>
      </c>
      <c r="B1125" s="3">
        <v>46223</v>
      </c>
      <c r="C1125" s="2" t="s">
        <v>30</v>
      </c>
      <c r="D1125" s="2" t="s">
        <v>17</v>
      </c>
    </row>
    <row r="1126" spans="1:4" x14ac:dyDescent="0.35">
      <c r="A1126" s="2" t="s">
        <v>229</v>
      </c>
      <c r="B1126" s="3">
        <v>46211</v>
      </c>
      <c r="C1126" s="2" t="s">
        <v>30</v>
      </c>
      <c r="D1126" s="2" t="s">
        <v>17</v>
      </c>
    </row>
    <row r="1127" spans="1:4" x14ac:dyDescent="0.35">
      <c r="A1127" s="2" t="s">
        <v>229</v>
      </c>
      <c r="B1127" s="3">
        <v>46287</v>
      </c>
      <c r="C1127" s="2" t="s">
        <v>245</v>
      </c>
      <c r="D1127" s="2" t="s">
        <v>17</v>
      </c>
    </row>
    <row r="1128" spans="1:4" x14ac:dyDescent="0.35">
      <c r="A1128" s="2" t="s">
        <v>229</v>
      </c>
      <c r="B1128" s="3">
        <v>46217</v>
      </c>
      <c r="C1128" s="2" t="s">
        <v>245</v>
      </c>
      <c r="D1128" s="2" t="s">
        <v>17</v>
      </c>
    </row>
    <row r="1129" spans="1:4" x14ac:dyDescent="0.35">
      <c r="A1129" s="2" t="s">
        <v>229</v>
      </c>
      <c r="B1129" s="3">
        <v>46232</v>
      </c>
      <c r="C1129" s="2" t="s">
        <v>245</v>
      </c>
      <c r="D1129" s="2" t="s">
        <v>17</v>
      </c>
    </row>
    <row r="1130" spans="1:4" x14ac:dyDescent="0.35">
      <c r="A1130" s="2" t="s">
        <v>231</v>
      </c>
      <c r="B1130" s="3">
        <v>46244</v>
      </c>
      <c r="C1130" s="2" t="s">
        <v>245</v>
      </c>
      <c r="D1130" s="2" t="s">
        <v>37</v>
      </c>
    </row>
    <row r="1131" spans="1:4" x14ac:dyDescent="0.35">
      <c r="A1131" s="2" t="s">
        <v>231</v>
      </c>
      <c r="B1131" s="3">
        <v>46252</v>
      </c>
      <c r="C1131" s="2" t="s">
        <v>245</v>
      </c>
      <c r="D1131" s="2" t="s">
        <v>37</v>
      </c>
    </row>
    <row r="1132" spans="1:4" x14ac:dyDescent="0.35">
      <c r="A1132" s="2" t="s">
        <v>231</v>
      </c>
      <c r="B1132" s="3">
        <v>46259</v>
      </c>
      <c r="C1132" s="2" t="s">
        <v>30</v>
      </c>
      <c r="D1132" s="2" t="s">
        <v>37</v>
      </c>
    </row>
    <row r="1133" spans="1:4" x14ac:dyDescent="0.35">
      <c r="A1133" s="2" t="s">
        <v>231</v>
      </c>
      <c r="B1133" s="3">
        <v>46234</v>
      </c>
      <c r="C1133" s="2" t="s">
        <v>30</v>
      </c>
      <c r="D1133" s="2" t="s">
        <v>37</v>
      </c>
    </row>
    <row r="1134" spans="1:4" x14ac:dyDescent="0.35">
      <c r="A1134" s="2" t="s">
        <v>231</v>
      </c>
      <c r="B1134" s="3">
        <v>46225</v>
      </c>
      <c r="C1134" s="2" t="s">
        <v>246</v>
      </c>
      <c r="D1134" s="2" t="s">
        <v>37</v>
      </c>
    </row>
    <row r="1135" spans="1:4" x14ac:dyDescent="0.35">
      <c r="A1135" s="2" t="s">
        <v>231</v>
      </c>
      <c r="B1135" s="3">
        <v>46286</v>
      </c>
      <c r="C1135" s="2" t="s">
        <v>245</v>
      </c>
      <c r="D1135" s="2" t="s">
        <v>37</v>
      </c>
    </row>
    <row r="1136" spans="1:4" x14ac:dyDescent="0.35">
      <c r="A1136" s="2" t="s">
        <v>231</v>
      </c>
      <c r="B1136" s="3">
        <v>46206</v>
      </c>
      <c r="C1136" s="2" t="s">
        <v>247</v>
      </c>
      <c r="D1136" s="2" t="s">
        <v>37</v>
      </c>
    </row>
    <row r="1137" spans="1:4" x14ac:dyDescent="0.35">
      <c r="A1137" s="2" t="s">
        <v>231</v>
      </c>
      <c r="B1137" s="3">
        <v>46281</v>
      </c>
      <c r="C1137" s="2" t="s">
        <v>247</v>
      </c>
      <c r="D1137" s="2" t="s">
        <v>37</v>
      </c>
    </row>
    <row r="1138" spans="1:4" x14ac:dyDescent="0.35">
      <c r="A1138" s="2" t="s">
        <v>231</v>
      </c>
      <c r="B1138" s="3">
        <v>46289</v>
      </c>
      <c r="C1138" s="2" t="s">
        <v>246</v>
      </c>
      <c r="D1138" s="2" t="s">
        <v>37</v>
      </c>
    </row>
    <row r="1139" spans="1:4" x14ac:dyDescent="0.35">
      <c r="A1139" s="2" t="s">
        <v>231</v>
      </c>
      <c r="B1139" s="3">
        <v>46253</v>
      </c>
      <c r="C1139" s="2" t="s">
        <v>30</v>
      </c>
      <c r="D1139" s="2" t="s">
        <v>37</v>
      </c>
    </row>
    <row r="1140" spans="1:4" x14ac:dyDescent="0.35">
      <c r="A1140" s="2" t="s">
        <v>231</v>
      </c>
      <c r="B1140" s="3">
        <v>46288</v>
      </c>
      <c r="C1140" s="2" t="s">
        <v>246</v>
      </c>
      <c r="D1140" s="2" t="s">
        <v>37</v>
      </c>
    </row>
    <row r="1141" spans="1:4" x14ac:dyDescent="0.35">
      <c r="A1141" s="2" t="s">
        <v>231</v>
      </c>
      <c r="B1141" s="3">
        <v>46287</v>
      </c>
      <c r="C1141" s="2" t="s">
        <v>247</v>
      </c>
      <c r="D1141" s="2" t="s">
        <v>37</v>
      </c>
    </row>
    <row r="1142" spans="1:4" x14ac:dyDescent="0.35">
      <c r="A1142" s="2" t="s">
        <v>233</v>
      </c>
      <c r="B1142" s="3">
        <v>46254</v>
      </c>
      <c r="C1142" s="2" t="s">
        <v>246</v>
      </c>
      <c r="D1142" s="2" t="s">
        <v>22</v>
      </c>
    </row>
    <row r="1143" spans="1:4" x14ac:dyDescent="0.35">
      <c r="A1143" s="2" t="s">
        <v>233</v>
      </c>
      <c r="B1143" s="3">
        <v>46204</v>
      </c>
      <c r="C1143" s="2" t="s">
        <v>245</v>
      </c>
      <c r="D1143" s="2" t="s">
        <v>22</v>
      </c>
    </row>
    <row r="1144" spans="1:4" x14ac:dyDescent="0.35">
      <c r="A1144" s="2" t="s">
        <v>233</v>
      </c>
      <c r="B1144" s="3">
        <v>46217</v>
      </c>
      <c r="C1144" s="2" t="s">
        <v>246</v>
      </c>
      <c r="D1144" s="2" t="s">
        <v>22</v>
      </c>
    </row>
    <row r="1145" spans="1:4" x14ac:dyDescent="0.35">
      <c r="A1145" s="2" t="s">
        <v>233</v>
      </c>
      <c r="B1145" s="3">
        <v>46248</v>
      </c>
      <c r="C1145" s="2" t="s">
        <v>246</v>
      </c>
      <c r="D1145" s="2" t="s">
        <v>22</v>
      </c>
    </row>
    <row r="1146" spans="1:4" x14ac:dyDescent="0.35">
      <c r="A1146" s="2" t="s">
        <v>233</v>
      </c>
      <c r="B1146" s="3">
        <v>46237</v>
      </c>
      <c r="C1146" s="2" t="s">
        <v>30</v>
      </c>
      <c r="D1146" s="2" t="s">
        <v>22</v>
      </c>
    </row>
    <row r="1147" spans="1:4" x14ac:dyDescent="0.35">
      <c r="A1147" s="2" t="s">
        <v>233</v>
      </c>
      <c r="B1147" s="3">
        <v>46224</v>
      </c>
      <c r="C1147" s="2" t="s">
        <v>246</v>
      </c>
      <c r="D1147" s="2" t="s">
        <v>22</v>
      </c>
    </row>
    <row r="1148" spans="1:4" x14ac:dyDescent="0.35">
      <c r="A1148" s="2" t="s">
        <v>233</v>
      </c>
      <c r="B1148" s="3">
        <v>46282</v>
      </c>
      <c r="C1148" s="2" t="s">
        <v>246</v>
      </c>
      <c r="D1148" s="2" t="s">
        <v>22</v>
      </c>
    </row>
    <row r="1149" spans="1:4" x14ac:dyDescent="0.35">
      <c r="A1149" s="2" t="s">
        <v>233</v>
      </c>
      <c r="B1149" s="3">
        <v>46218</v>
      </c>
      <c r="C1149" s="2" t="s">
        <v>246</v>
      </c>
      <c r="D1149" s="2" t="s">
        <v>22</v>
      </c>
    </row>
    <row r="1150" spans="1:4" x14ac:dyDescent="0.35">
      <c r="A1150" s="2" t="s">
        <v>233</v>
      </c>
      <c r="B1150" s="3">
        <v>46223</v>
      </c>
      <c r="C1150" s="2" t="s">
        <v>246</v>
      </c>
      <c r="D1150" s="2" t="s">
        <v>22</v>
      </c>
    </row>
    <row r="1151" spans="1:4" x14ac:dyDescent="0.35">
      <c r="A1151" s="2" t="s">
        <v>233</v>
      </c>
      <c r="B1151" s="3">
        <v>46281</v>
      </c>
      <c r="C1151" s="2" t="s">
        <v>245</v>
      </c>
      <c r="D1151" s="2" t="s">
        <v>22</v>
      </c>
    </row>
    <row r="1152" spans="1:4" x14ac:dyDescent="0.35">
      <c r="A1152" s="2" t="s">
        <v>233</v>
      </c>
      <c r="B1152" s="3">
        <v>46225</v>
      </c>
      <c r="C1152" s="2" t="s">
        <v>246</v>
      </c>
      <c r="D1152" s="2" t="s">
        <v>22</v>
      </c>
    </row>
    <row r="1153" spans="1:4" x14ac:dyDescent="0.35">
      <c r="A1153" s="2" t="s">
        <v>233</v>
      </c>
      <c r="B1153" s="3">
        <v>46219</v>
      </c>
      <c r="C1153" s="2" t="s">
        <v>245</v>
      </c>
      <c r="D1153" s="2" t="s">
        <v>22</v>
      </c>
    </row>
    <row r="1154" spans="1:4" x14ac:dyDescent="0.35">
      <c r="A1154" s="2" t="s">
        <v>235</v>
      </c>
      <c r="B1154" s="3">
        <v>46276</v>
      </c>
      <c r="C1154" s="2" t="s">
        <v>246</v>
      </c>
      <c r="D1154" s="2" t="s">
        <v>17</v>
      </c>
    </row>
    <row r="1155" spans="1:4" x14ac:dyDescent="0.35">
      <c r="A1155" s="2" t="s">
        <v>235</v>
      </c>
      <c r="B1155" s="3">
        <v>46238</v>
      </c>
      <c r="C1155" s="2" t="s">
        <v>246</v>
      </c>
      <c r="D1155" s="2" t="s">
        <v>17</v>
      </c>
    </row>
    <row r="1156" spans="1:4" x14ac:dyDescent="0.35">
      <c r="A1156" s="2" t="s">
        <v>235</v>
      </c>
      <c r="B1156" s="3">
        <v>46280</v>
      </c>
      <c r="C1156" s="2" t="s">
        <v>30</v>
      </c>
      <c r="D1156" s="2" t="s">
        <v>17</v>
      </c>
    </row>
    <row r="1157" spans="1:4" x14ac:dyDescent="0.35">
      <c r="A1157" s="2" t="s">
        <v>235</v>
      </c>
      <c r="B1157" s="3">
        <v>46262</v>
      </c>
      <c r="C1157" s="2" t="s">
        <v>245</v>
      </c>
      <c r="D1157" s="2" t="s">
        <v>17</v>
      </c>
    </row>
    <row r="1158" spans="1:4" x14ac:dyDescent="0.35">
      <c r="A1158" s="2" t="s">
        <v>235</v>
      </c>
      <c r="B1158" s="3">
        <v>46274</v>
      </c>
      <c r="C1158" s="2" t="s">
        <v>245</v>
      </c>
      <c r="D1158" s="2" t="s">
        <v>17</v>
      </c>
    </row>
    <row r="1159" spans="1:4" x14ac:dyDescent="0.35">
      <c r="A1159" s="2" t="s">
        <v>235</v>
      </c>
      <c r="B1159" s="3">
        <v>46239</v>
      </c>
      <c r="C1159" s="2" t="s">
        <v>246</v>
      </c>
      <c r="D1159" s="2" t="s">
        <v>17</v>
      </c>
    </row>
    <row r="1160" spans="1:4" x14ac:dyDescent="0.35">
      <c r="A1160" s="2" t="s">
        <v>235</v>
      </c>
      <c r="B1160" s="3">
        <v>46254</v>
      </c>
      <c r="C1160" s="2" t="s">
        <v>246</v>
      </c>
      <c r="D1160" s="2" t="s">
        <v>17</v>
      </c>
    </row>
    <row r="1161" spans="1:4" x14ac:dyDescent="0.35">
      <c r="A1161" s="2" t="s">
        <v>235</v>
      </c>
      <c r="B1161" s="3">
        <v>46275</v>
      </c>
      <c r="C1161" s="2" t="s">
        <v>246</v>
      </c>
      <c r="D1161" s="2" t="s">
        <v>17</v>
      </c>
    </row>
    <row r="1162" spans="1:4" x14ac:dyDescent="0.35">
      <c r="A1162" s="2" t="s">
        <v>235</v>
      </c>
      <c r="B1162" s="3">
        <v>46259</v>
      </c>
      <c r="C1162" s="2" t="s">
        <v>30</v>
      </c>
      <c r="D1162" s="2" t="s">
        <v>17</v>
      </c>
    </row>
    <row r="1163" spans="1:4" x14ac:dyDescent="0.35">
      <c r="A1163" s="2" t="s">
        <v>235</v>
      </c>
      <c r="B1163" s="3">
        <v>46220</v>
      </c>
      <c r="C1163" s="2" t="s">
        <v>245</v>
      </c>
      <c r="D1163" s="2" t="s">
        <v>17</v>
      </c>
    </row>
    <row r="1164" spans="1:4" x14ac:dyDescent="0.35">
      <c r="A1164" s="2" t="s">
        <v>235</v>
      </c>
      <c r="B1164" s="3">
        <v>46226</v>
      </c>
      <c r="C1164" s="2" t="s">
        <v>246</v>
      </c>
      <c r="D1164" s="2" t="s">
        <v>17</v>
      </c>
    </row>
    <row r="1165" spans="1:4" x14ac:dyDescent="0.35">
      <c r="A1165" s="2" t="s">
        <v>235</v>
      </c>
      <c r="B1165" s="3">
        <v>46225</v>
      </c>
      <c r="C1165" s="2" t="s">
        <v>246</v>
      </c>
      <c r="D1165" s="2" t="s">
        <v>17</v>
      </c>
    </row>
    <row r="1166" spans="1:4" x14ac:dyDescent="0.35">
      <c r="A1166" s="2" t="s">
        <v>237</v>
      </c>
      <c r="B1166" s="3">
        <v>46234</v>
      </c>
      <c r="C1166" s="2" t="s">
        <v>246</v>
      </c>
      <c r="D1166" s="2" t="s">
        <v>11</v>
      </c>
    </row>
    <row r="1167" spans="1:4" x14ac:dyDescent="0.35">
      <c r="A1167" s="2" t="s">
        <v>237</v>
      </c>
      <c r="B1167" s="3">
        <v>46245</v>
      </c>
      <c r="C1167" s="2" t="s">
        <v>30</v>
      </c>
      <c r="D1167" s="2" t="s">
        <v>11</v>
      </c>
    </row>
    <row r="1168" spans="1:4" x14ac:dyDescent="0.35">
      <c r="A1168" s="2" t="s">
        <v>237</v>
      </c>
      <c r="B1168" s="3">
        <v>46218</v>
      </c>
      <c r="C1168" s="2" t="s">
        <v>246</v>
      </c>
      <c r="D1168" s="2" t="s">
        <v>11</v>
      </c>
    </row>
    <row r="1169" spans="1:4" x14ac:dyDescent="0.35">
      <c r="A1169" s="2" t="s">
        <v>237</v>
      </c>
      <c r="B1169" s="3">
        <v>46248</v>
      </c>
      <c r="C1169" s="2" t="s">
        <v>245</v>
      </c>
      <c r="D1169" s="2" t="s">
        <v>11</v>
      </c>
    </row>
    <row r="1170" spans="1:4" x14ac:dyDescent="0.35">
      <c r="A1170" s="2" t="s">
        <v>237</v>
      </c>
      <c r="B1170" s="3">
        <v>46269</v>
      </c>
      <c r="C1170" s="2" t="s">
        <v>246</v>
      </c>
      <c r="D1170" s="2" t="s">
        <v>11</v>
      </c>
    </row>
    <row r="1171" spans="1:4" x14ac:dyDescent="0.35">
      <c r="A1171" s="2" t="s">
        <v>237</v>
      </c>
      <c r="B1171" s="3">
        <v>46232</v>
      </c>
      <c r="C1171" s="2" t="s">
        <v>246</v>
      </c>
      <c r="D1171" s="2" t="s">
        <v>11</v>
      </c>
    </row>
    <row r="1172" spans="1:4" x14ac:dyDescent="0.35">
      <c r="A1172" s="2" t="s">
        <v>237</v>
      </c>
      <c r="B1172" s="3">
        <v>46204</v>
      </c>
      <c r="C1172" s="2" t="s">
        <v>246</v>
      </c>
      <c r="D1172" s="2" t="s">
        <v>11</v>
      </c>
    </row>
    <row r="1173" spans="1:4" x14ac:dyDescent="0.35">
      <c r="A1173" s="2" t="s">
        <v>237</v>
      </c>
      <c r="B1173" s="3">
        <v>46272</v>
      </c>
      <c r="C1173" s="2" t="s">
        <v>246</v>
      </c>
      <c r="D1173" s="2" t="s">
        <v>11</v>
      </c>
    </row>
    <row r="1174" spans="1:4" x14ac:dyDescent="0.35">
      <c r="A1174" s="2" t="s">
        <v>237</v>
      </c>
      <c r="B1174" s="3">
        <v>46279</v>
      </c>
      <c r="C1174" s="2" t="s">
        <v>246</v>
      </c>
      <c r="D1174" s="2" t="s">
        <v>11</v>
      </c>
    </row>
    <row r="1175" spans="1:4" x14ac:dyDescent="0.35">
      <c r="A1175" s="2" t="s">
        <v>237</v>
      </c>
      <c r="B1175" s="3">
        <v>46225</v>
      </c>
      <c r="C1175" s="2" t="s">
        <v>246</v>
      </c>
      <c r="D1175" s="2" t="s">
        <v>11</v>
      </c>
    </row>
    <row r="1176" spans="1:4" x14ac:dyDescent="0.35">
      <c r="A1176" s="2" t="s">
        <v>237</v>
      </c>
      <c r="B1176" s="3">
        <v>46240</v>
      </c>
      <c r="C1176" s="2" t="s">
        <v>247</v>
      </c>
      <c r="D1176" s="2" t="s">
        <v>11</v>
      </c>
    </row>
    <row r="1177" spans="1:4" x14ac:dyDescent="0.35">
      <c r="A1177" s="2" t="s">
        <v>237</v>
      </c>
      <c r="B1177" s="3">
        <v>46213</v>
      </c>
      <c r="C1177" s="2" t="s">
        <v>245</v>
      </c>
      <c r="D1177" s="2" t="s">
        <v>11</v>
      </c>
    </row>
    <row r="1178" spans="1:4" x14ac:dyDescent="0.35">
      <c r="A1178" s="2" t="s">
        <v>239</v>
      </c>
      <c r="B1178" s="3">
        <v>46224</v>
      </c>
      <c r="C1178" s="2" t="s">
        <v>246</v>
      </c>
      <c r="D1178" s="2" t="s">
        <v>33</v>
      </c>
    </row>
    <row r="1179" spans="1:4" x14ac:dyDescent="0.35">
      <c r="A1179" s="2" t="s">
        <v>239</v>
      </c>
      <c r="B1179" s="3">
        <v>46293</v>
      </c>
      <c r="C1179" s="2" t="s">
        <v>245</v>
      </c>
      <c r="D1179" s="2" t="s">
        <v>33</v>
      </c>
    </row>
    <row r="1180" spans="1:4" x14ac:dyDescent="0.35">
      <c r="A1180" s="2" t="s">
        <v>239</v>
      </c>
      <c r="B1180" s="3">
        <v>46254</v>
      </c>
      <c r="C1180" s="2" t="s">
        <v>246</v>
      </c>
      <c r="D1180" s="2" t="s">
        <v>33</v>
      </c>
    </row>
    <row r="1181" spans="1:4" x14ac:dyDescent="0.35">
      <c r="A1181" s="2" t="s">
        <v>239</v>
      </c>
      <c r="B1181" s="3">
        <v>46209</v>
      </c>
      <c r="C1181" s="2" t="s">
        <v>247</v>
      </c>
      <c r="D1181" s="2" t="s">
        <v>33</v>
      </c>
    </row>
    <row r="1182" spans="1:4" x14ac:dyDescent="0.35">
      <c r="A1182" s="2" t="s">
        <v>239</v>
      </c>
      <c r="B1182" s="3">
        <v>46230</v>
      </c>
      <c r="C1182" s="2" t="s">
        <v>247</v>
      </c>
      <c r="D1182" s="2" t="s">
        <v>33</v>
      </c>
    </row>
    <row r="1183" spans="1:4" x14ac:dyDescent="0.35">
      <c r="A1183" s="2" t="s">
        <v>239</v>
      </c>
      <c r="B1183" s="3">
        <v>46226</v>
      </c>
      <c r="C1183" s="2" t="s">
        <v>246</v>
      </c>
      <c r="D1183" s="2" t="s">
        <v>33</v>
      </c>
    </row>
    <row r="1184" spans="1:4" x14ac:dyDescent="0.35">
      <c r="A1184" s="2" t="s">
        <v>239</v>
      </c>
      <c r="B1184" s="3">
        <v>46247</v>
      </c>
      <c r="C1184" s="2" t="s">
        <v>245</v>
      </c>
      <c r="D1184" s="2" t="s">
        <v>33</v>
      </c>
    </row>
    <row r="1185" spans="1:4" x14ac:dyDescent="0.35">
      <c r="A1185" s="2" t="s">
        <v>239</v>
      </c>
      <c r="B1185" s="3">
        <v>46244</v>
      </c>
      <c r="C1185" s="2" t="s">
        <v>246</v>
      </c>
      <c r="D1185" s="2" t="s">
        <v>33</v>
      </c>
    </row>
    <row r="1186" spans="1:4" x14ac:dyDescent="0.35">
      <c r="A1186" s="2" t="s">
        <v>239</v>
      </c>
      <c r="B1186" s="3">
        <v>46276</v>
      </c>
      <c r="C1186" s="2" t="s">
        <v>30</v>
      </c>
      <c r="D1186" s="2" t="s">
        <v>33</v>
      </c>
    </row>
    <row r="1187" spans="1:4" x14ac:dyDescent="0.35">
      <c r="A1187" s="2" t="s">
        <v>239</v>
      </c>
      <c r="B1187" s="3">
        <v>46287</v>
      </c>
      <c r="C1187" s="2" t="s">
        <v>246</v>
      </c>
      <c r="D1187" s="2" t="s">
        <v>33</v>
      </c>
    </row>
    <row r="1188" spans="1:4" x14ac:dyDescent="0.35">
      <c r="A1188" s="2" t="s">
        <v>239</v>
      </c>
      <c r="B1188" s="3">
        <v>46240</v>
      </c>
      <c r="C1188" s="2" t="s">
        <v>247</v>
      </c>
      <c r="D1188" s="2" t="s">
        <v>33</v>
      </c>
    </row>
    <row r="1189" spans="1:4" x14ac:dyDescent="0.35">
      <c r="A1189" s="2" t="s">
        <v>239</v>
      </c>
      <c r="B1189" s="3">
        <v>46204</v>
      </c>
      <c r="C1189" s="2" t="s">
        <v>246</v>
      </c>
      <c r="D1189" s="2" t="s">
        <v>33</v>
      </c>
    </row>
    <row r="1190" spans="1:4" x14ac:dyDescent="0.35">
      <c r="A1190" s="2" t="s">
        <v>241</v>
      </c>
      <c r="B1190" s="3">
        <v>46219</v>
      </c>
      <c r="C1190" s="2" t="s">
        <v>246</v>
      </c>
      <c r="D1190" s="2" t="s">
        <v>22</v>
      </c>
    </row>
    <row r="1191" spans="1:4" x14ac:dyDescent="0.35">
      <c r="A1191" s="2" t="s">
        <v>241</v>
      </c>
      <c r="B1191" s="3">
        <v>46289</v>
      </c>
      <c r="C1191" s="2" t="s">
        <v>246</v>
      </c>
      <c r="D1191" s="2" t="s">
        <v>22</v>
      </c>
    </row>
    <row r="1192" spans="1:4" x14ac:dyDescent="0.35">
      <c r="A1192" s="2" t="s">
        <v>241</v>
      </c>
      <c r="B1192" s="3">
        <v>46267</v>
      </c>
      <c r="C1192" s="2" t="s">
        <v>246</v>
      </c>
      <c r="D1192" s="2" t="s">
        <v>22</v>
      </c>
    </row>
    <row r="1193" spans="1:4" x14ac:dyDescent="0.35">
      <c r="A1193" s="2" t="s">
        <v>241</v>
      </c>
      <c r="B1193" s="3">
        <v>46213</v>
      </c>
      <c r="C1193" s="2" t="s">
        <v>246</v>
      </c>
      <c r="D1193" s="2" t="s">
        <v>22</v>
      </c>
    </row>
    <row r="1194" spans="1:4" x14ac:dyDescent="0.35">
      <c r="A1194" s="2" t="s">
        <v>241</v>
      </c>
      <c r="B1194" s="3">
        <v>46259</v>
      </c>
      <c r="C1194" s="2" t="s">
        <v>245</v>
      </c>
      <c r="D1194" s="2" t="s">
        <v>22</v>
      </c>
    </row>
    <row r="1195" spans="1:4" x14ac:dyDescent="0.35">
      <c r="A1195" s="2" t="s">
        <v>241</v>
      </c>
      <c r="B1195" s="3">
        <v>46247</v>
      </c>
      <c r="C1195" s="2" t="s">
        <v>246</v>
      </c>
      <c r="D1195" s="2" t="s">
        <v>22</v>
      </c>
    </row>
    <row r="1196" spans="1:4" x14ac:dyDescent="0.35">
      <c r="A1196" s="2" t="s">
        <v>241</v>
      </c>
      <c r="B1196" s="3">
        <v>46294</v>
      </c>
      <c r="C1196" s="2" t="s">
        <v>246</v>
      </c>
      <c r="D1196" s="2" t="s">
        <v>22</v>
      </c>
    </row>
    <row r="1197" spans="1:4" x14ac:dyDescent="0.35">
      <c r="A1197" s="2" t="s">
        <v>241</v>
      </c>
      <c r="B1197" s="3">
        <v>46266</v>
      </c>
      <c r="C1197" s="2" t="s">
        <v>246</v>
      </c>
      <c r="D1197" s="2" t="s">
        <v>22</v>
      </c>
    </row>
    <row r="1198" spans="1:4" x14ac:dyDescent="0.35">
      <c r="A1198" s="2" t="s">
        <v>241</v>
      </c>
      <c r="B1198" s="3">
        <v>46253</v>
      </c>
      <c r="C1198" s="2" t="s">
        <v>30</v>
      </c>
      <c r="D1198" s="2" t="s">
        <v>22</v>
      </c>
    </row>
    <row r="1199" spans="1:4" x14ac:dyDescent="0.35">
      <c r="A1199" s="2" t="s">
        <v>241</v>
      </c>
      <c r="B1199" s="3">
        <v>46244</v>
      </c>
      <c r="C1199" s="2" t="s">
        <v>245</v>
      </c>
      <c r="D1199" s="2" t="s">
        <v>22</v>
      </c>
    </row>
    <row r="1200" spans="1:4" x14ac:dyDescent="0.35">
      <c r="A1200" s="2" t="s">
        <v>241</v>
      </c>
      <c r="B1200" s="3">
        <v>46279</v>
      </c>
      <c r="C1200" s="2" t="s">
        <v>246</v>
      </c>
      <c r="D1200" s="2" t="s">
        <v>22</v>
      </c>
    </row>
    <row r="1201" spans="1:4" x14ac:dyDescent="0.35">
      <c r="A1201" s="2" t="s">
        <v>241</v>
      </c>
      <c r="B1201" s="3">
        <v>46226</v>
      </c>
      <c r="C1201" s="2" t="s">
        <v>246</v>
      </c>
      <c r="D1201" s="2" t="s">
        <v>22</v>
      </c>
    </row>
  </sheetData>
  <autoFilter ref="A1:D1201" xr:uid="{00000000-0009-0000-0000-000001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1D97-9E6C-4BA6-8848-1F49FB4378D9}">
  <dimension ref="A1:L1201"/>
  <sheetViews>
    <sheetView workbookViewId="0">
      <pane ySplit="1" topLeftCell="A2" activePane="bottomLeft" state="frozen"/>
      <selection pane="bottomLeft" activeCell="G103" sqref="G103"/>
    </sheetView>
  </sheetViews>
  <sheetFormatPr defaultRowHeight="14.5" x14ac:dyDescent="0.35"/>
  <cols>
    <col min="1" max="1" width="12" customWidth="1"/>
    <col min="2" max="2" width="21" customWidth="1"/>
    <col min="3" max="4" width="18" customWidth="1"/>
    <col min="5" max="5" width="14.36328125" bestFit="1" customWidth="1"/>
    <col min="6" max="6" width="11.453125" bestFit="1" customWidth="1"/>
  </cols>
  <sheetData>
    <row r="1" spans="1:12" ht="30" customHeight="1" x14ac:dyDescent="0.35">
      <c r="A1" s="1" t="s">
        <v>0</v>
      </c>
      <c r="B1" s="1" t="s">
        <v>243</v>
      </c>
      <c r="C1" s="1" t="s">
        <v>244</v>
      </c>
      <c r="D1" s="1" t="s">
        <v>2</v>
      </c>
      <c r="E1" s="4" t="s">
        <v>322</v>
      </c>
      <c r="F1" s="4" t="s">
        <v>396</v>
      </c>
      <c r="G1" s="4" t="s">
        <v>397</v>
      </c>
      <c r="H1" s="4" t="s">
        <v>409</v>
      </c>
    </row>
    <row r="2" spans="1:12" x14ac:dyDescent="0.35">
      <c r="A2" s="2" t="s">
        <v>9</v>
      </c>
      <c r="B2" s="3">
        <v>46281</v>
      </c>
      <c r="C2" s="2" t="s">
        <v>245</v>
      </c>
      <c r="D2" s="2" t="s">
        <v>11</v>
      </c>
      <c r="E2" t="str">
        <f>IF(OR(A2="", B2=""), "Check missing data", IF(COUNTIFS($A$2:A2, A2, $B$2:B2, B2)&gt;1, "Possible Duplicate", "First Occurrence"))</f>
        <v>First Occurrence</v>
      </c>
      <c r="F2" t="str">
        <f>PROPER(TRIM(C2))</f>
        <v>Absent</v>
      </c>
      <c r="G2" t="str" cm="1">
        <f t="array" ref="G2:G5">_xlfn._xlws.SORT(_xlfn.UNIQUE(F2:F1201))</f>
        <v>Absent</v>
      </c>
      <c r="H2" t="str">
        <f>TRIM(CLEAN(D2))</f>
        <v>Operations</v>
      </c>
    </row>
    <row r="3" spans="1:12" x14ac:dyDescent="0.35">
      <c r="A3" s="2" t="s">
        <v>9</v>
      </c>
      <c r="B3" s="3">
        <v>46295</v>
      </c>
      <c r="C3" s="2" t="s">
        <v>30</v>
      </c>
      <c r="D3" s="2" t="s">
        <v>11</v>
      </c>
      <c r="E3" t="str">
        <f>IF(OR(A3="", B3=""), "Check missing data", IF(COUNTIFS($A$2:A3, A3, $B$2:B3, B3)&gt;1, "Possible Duplicate", "First Occurrence"))</f>
        <v>First Occurrence</v>
      </c>
      <c r="F3" t="str">
        <f t="shared" ref="F3:F66" si="0">PROPER(TRIM(C3))</f>
        <v>On Leave</v>
      </c>
      <c r="G3" t="str">
        <v>Late</v>
      </c>
      <c r="H3" t="str">
        <f t="shared" ref="H3:H66" si="1">TRIM(CLEAN(D3))</f>
        <v>Operations</v>
      </c>
    </row>
    <row r="4" spans="1:12" x14ac:dyDescent="0.35">
      <c r="A4" s="2" t="s">
        <v>9</v>
      </c>
      <c r="B4" s="3">
        <v>46294</v>
      </c>
      <c r="C4" s="2" t="s">
        <v>245</v>
      </c>
      <c r="D4" s="2" t="s">
        <v>11</v>
      </c>
      <c r="E4" t="str">
        <f>IF(OR(A4="", B4=""), "Check missing data", IF(COUNTIFS($A$2:A4, A4, $B$2:B4, B4)&gt;1, "Possible Duplicate", "First Occurrence"))</f>
        <v>First Occurrence</v>
      </c>
      <c r="F4" t="str">
        <f t="shared" si="0"/>
        <v>Absent</v>
      </c>
      <c r="G4" t="str">
        <v>On Leave</v>
      </c>
      <c r="H4" t="str">
        <f t="shared" si="1"/>
        <v>Operations</v>
      </c>
      <c r="L4">
        <f>COUNTA(A2:A1201)</f>
        <v>1200</v>
      </c>
    </row>
    <row r="5" spans="1:12" x14ac:dyDescent="0.35">
      <c r="A5" s="2" t="s">
        <v>9</v>
      </c>
      <c r="B5" s="3">
        <v>46276</v>
      </c>
      <c r="C5" s="2" t="s">
        <v>246</v>
      </c>
      <c r="D5" s="2" t="s">
        <v>11</v>
      </c>
      <c r="E5" t="str">
        <f>IF(OR(A5="", B5=""), "Check missing data", IF(COUNTIFS($A$2:A5, A5, $B$2:B5, B5)&gt;1, "Possible Duplicate", "First Occurrence"))</f>
        <v>First Occurrence</v>
      </c>
      <c r="F5" t="str">
        <f t="shared" si="0"/>
        <v>Present</v>
      </c>
      <c r="G5" t="str">
        <v>Present</v>
      </c>
      <c r="H5" t="str">
        <f t="shared" si="1"/>
        <v>Operations</v>
      </c>
    </row>
    <row r="6" spans="1:12" x14ac:dyDescent="0.35">
      <c r="A6" s="2" t="s">
        <v>9</v>
      </c>
      <c r="B6" s="3">
        <v>46255</v>
      </c>
      <c r="C6" s="2" t="s">
        <v>246</v>
      </c>
      <c r="D6" s="2" t="s">
        <v>11</v>
      </c>
      <c r="E6" t="str">
        <f>IF(OR(A6="", B6=""), "Check missing data", IF(COUNTIFS($A$2:A6, A6, $B$2:B6, B6)&gt;1, "Possible Duplicate", "First Occurrence"))</f>
        <v>First Occurrence</v>
      </c>
      <c r="F6" t="str">
        <f t="shared" si="0"/>
        <v>Present</v>
      </c>
      <c r="H6" t="str">
        <f t="shared" si="1"/>
        <v>Operations</v>
      </c>
    </row>
    <row r="7" spans="1:12" x14ac:dyDescent="0.35">
      <c r="A7" s="2" t="s">
        <v>9</v>
      </c>
      <c r="B7" s="3">
        <v>46233</v>
      </c>
      <c r="C7" s="2" t="s">
        <v>247</v>
      </c>
      <c r="D7" s="2" t="s">
        <v>11</v>
      </c>
      <c r="E7" t="str">
        <f>IF(OR(A7="", B7=""), "Check missing data", IF(COUNTIFS($A$2:A7, A7, $B$2:B7, B7)&gt;1, "Possible Duplicate", "First Occurrence"))</f>
        <v>First Occurrence</v>
      </c>
      <c r="F7" t="str">
        <f t="shared" si="0"/>
        <v>Late</v>
      </c>
      <c r="H7" t="str">
        <f t="shared" si="1"/>
        <v>Operations</v>
      </c>
    </row>
    <row r="8" spans="1:12" x14ac:dyDescent="0.35">
      <c r="A8" s="2" t="s">
        <v>9</v>
      </c>
      <c r="B8" s="3">
        <v>46272</v>
      </c>
      <c r="C8" s="2" t="s">
        <v>247</v>
      </c>
      <c r="D8" s="2" t="s">
        <v>11</v>
      </c>
      <c r="E8" t="str">
        <f>IF(OR(A8="", B8=""), "Check missing data", IF(COUNTIFS($A$2:A8, A8, $B$2:B8, B8)&gt;1, "Possible Duplicate", "First Occurrence"))</f>
        <v>First Occurrence</v>
      </c>
      <c r="F8" t="str">
        <f t="shared" si="0"/>
        <v>Late</v>
      </c>
      <c r="H8" t="str">
        <f t="shared" si="1"/>
        <v>Operations</v>
      </c>
    </row>
    <row r="9" spans="1:12" x14ac:dyDescent="0.35">
      <c r="A9" s="2" t="s">
        <v>9</v>
      </c>
      <c r="B9" s="3">
        <v>46230</v>
      </c>
      <c r="C9" s="2" t="s">
        <v>246</v>
      </c>
      <c r="D9" s="2" t="s">
        <v>11</v>
      </c>
      <c r="E9" t="str">
        <f>IF(OR(A9="", B9=""), "Check missing data", IF(COUNTIFS($A$2:A9, A9, $B$2:B9, B9)&gt;1, "Possible Duplicate", "First Occurrence"))</f>
        <v>First Occurrence</v>
      </c>
      <c r="F9" t="str">
        <f t="shared" si="0"/>
        <v>Present</v>
      </c>
      <c r="H9" t="str">
        <f t="shared" si="1"/>
        <v>Operations</v>
      </c>
    </row>
    <row r="10" spans="1:12" x14ac:dyDescent="0.35">
      <c r="A10" s="2" t="s">
        <v>9</v>
      </c>
      <c r="B10" s="3">
        <v>46241</v>
      </c>
      <c r="C10" s="2" t="s">
        <v>245</v>
      </c>
      <c r="D10" s="2" t="s">
        <v>11</v>
      </c>
      <c r="E10" t="str">
        <f>IF(OR(A10="", B10=""), "Check missing data", IF(COUNTIFS($A$2:A10, A10, $B$2:B10, B10)&gt;1, "Possible Duplicate", "First Occurrence"))</f>
        <v>First Occurrence</v>
      </c>
      <c r="F10" t="str">
        <f t="shared" si="0"/>
        <v>Absent</v>
      </c>
      <c r="H10" t="str">
        <f t="shared" si="1"/>
        <v>Operations</v>
      </c>
    </row>
    <row r="11" spans="1:12" x14ac:dyDescent="0.35">
      <c r="A11" s="2" t="s">
        <v>9</v>
      </c>
      <c r="B11" s="3">
        <v>46266</v>
      </c>
      <c r="C11" s="2" t="s">
        <v>246</v>
      </c>
      <c r="D11" s="2" t="s">
        <v>11</v>
      </c>
      <c r="E11" t="str">
        <f>IF(OR(A11="", B11=""), "Check missing data", IF(COUNTIFS($A$2:A11, A11, $B$2:B11, B11)&gt;1, "Possible Duplicate", "First Occurrence"))</f>
        <v>First Occurrence</v>
      </c>
      <c r="F11" t="str">
        <f t="shared" si="0"/>
        <v>Present</v>
      </c>
      <c r="H11" t="str">
        <f t="shared" si="1"/>
        <v>Operations</v>
      </c>
    </row>
    <row r="12" spans="1:12" x14ac:dyDescent="0.35">
      <c r="A12" s="2" t="s">
        <v>9</v>
      </c>
      <c r="B12" s="3">
        <v>46211</v>
      </c>
      <c r="C12" s="2" t="s">
        <v>245</v>
      </c>
      <c r="D12" s="2" t="s">
        <v>11</v>
      </c>
      <c r="E12" t="str">
        <f>IF(OR(A12="", B12=""), "Check missing data", IF(COUNTIFS($A$2:A12, A12, $B$2:B12, B12)&gt;1, "Possible Duplicate", "First Occurrence"))</f>
        <v>First Occurrence</v>
      </c>
      <c r="F12" t="str">
        <f t="shared" si="0"/>
        <v>Absent</v>
      </c>
      <c r="H12" t="str">
        <f t="shared" si="1"/>
        <v>Operations</v>
      </c>
    </row>
    <row r="13" spans="1:12" x14ac:dyDescent="0.35">
      <c r="A13" s="2" t="s">
        <v>9</v>
      </c>
      <c r="B13" s="3">
        <v>46231</v>
      </c>
      <c r="C13" s="2" t="s">
        <v>246</v>
      </c>
      <c r="D13" s="2" t="s">
        <v>11</v>
      </c>
      <c r="E13" t="str">
        <f>IF(OR(A13="", B13=""), "Check missing data", IF(COUNTIFS($A$2:A13, A13, $B$2:B13, B13)&gt;1, "Possible Duplicate", "First Occurrence"))</f>
        <v>First Occurrence</v>
      </c>
      <c r="F13" t="str">
        <f t="shared" si="0"/>
        <v>Present</v>
      </c>
      <c r="H13" t="str">
        <f t="shared" si="1"/>
        <v>Operations</v>
      </c>
    </row>
    <row r="14" spans="1:12" x14ac:dyDescent="0.35">
      <c r="A14" s="2" t="s">
        <v>15</v>
      </c>
      <c r="B14" s="3">
        <v>46272</v>
      </c>
      <c r="C14" s="2" t="s">
        <v>30</v>
      </c>
      <c r="D14" s="2" t="s">
        <v>17</v>
      </c>
      <c r="E14" t="str">
        <f>IF(OR(A14="", B14=""), "Check missing data", IF(COUNTIFS($A$2:A14, A14, $B$2:B14, B14)&gt;1, "Possible Duplicate", "First Occurrence"))</f>
        <v>First Occurrence</v>
      </c>
      <c r="F14" t="str">
        <f t="shared" si="0"/>
        <v>On Leave</v>
      </c>
      <c r="H14" t="str">
        <f t="shared" si="1"/>
        <v>Finance</v>
      </c>
    </row>
    <row r="15" spans="1:12" x14ac:dyDescent="0.35">
      <c r="A15" s="2" t="s">
        <v>15</v>
      </c>
      <c r="B15" s="3">
        <v>46241</v>
      </c>
      <c r="C15" s="2" t="s">
        <v>246</v>
      </c>
      <c r="D15" s="2" t="s">
        <v>17</v>
      </c>
      <c r="E15" t="str">
        <f>IF(OR(A15="", B15=""), "Check missing data", IF(COUNTIFS($A$2:A15, A15, $B$2:B15, B15)&gt;1, "Possible Duplicate", "First Occurrence"))</f>
        <v>First Occurrence</v>
      </c>
      <c r="F15" t="str">
        <f t="shared" si="0"/>
        <v>Present</v>
      </c>
      <c r="H15" t="str">
        <f t="shared" si="1"/>
        <v>Finance</v>
      </c>
    </row>
    <row r="16" spans="1:12" x14ac:dyDescent="0.35">
      <c r="A16" s="2" t="s">
        <v>15</v>
      </c>
      <c r="B16" s="3">
        <v>46290</v>
      </c>
      <c r="C16" s="2" t="s">
        <v>245</v>
      </c>
      <c r="D16" s="2" t="s">
        <v>17</v>
      </c>
      <c r="E16" t="str">
        <f>IF(OR(A16="", B16=""), "Check missing data", IF(COUNTIFS($A$2:A16, A16, $B$2:B16, B16)&gt;1, "Possible Duplicate", "First Occurrence"))</f>
        <v>First Occurrence</v>
      </c>
      <c r="F16" t="str">
        <f t="shared" si="0"/>
        <v>Absent</v>
      </c>
      <c r="H16" t="str">
        <f t="shared" si="1"/>
        <v>Finance</v>
      </c>
    </row>
    <row r="17" spans="1:8" x14ac:dyDescent="0.35">
      <c r="A17" s="2" t="s">
        <v>15</v>
      </c>
      <c r="B17" s="3">
        <v>46237</v>
      </c>
      <c r="C17" s="2" t="s">
        <v>246</v>
      </c>
      <c r="D17" s="2" t="s">
        <v>17</v>
      </c>
      <c r="E17" t="str">
        <f>IF(OR(A17="", B17=""), "Check missing data", IF(COUNTIFS($A$2:A17, A17, $B$2:B17, B17)&gt;1, "Possible Duplicate", "First Occurrence"))</f>
        <v>First Occurrence</v>
      </c>
      <c r="F17" t="str">
        <f t="shared" si="0"/>
        <v>Present</v>
      </c>
      <c r="H17" t="str">
        <f t="shared" si="1"/>
        <v>Finance</v>
      </c>
    </row>
    <row r="18" spans="1:8" x14ac:dyDescent="0.35">
      <c r="A18" s="2" t="s">
        <v>15</v>
      </c>
      <c r="B18" s="3">
        <v>46232</v>
      </c>
      <c r="C18" s="2" t="s">
        <v>246</v>
      </c>
      <c r="D18" s="2" t="s">
        <v>17</v>
      </c>
      <c r="E18" t="str">
        <f>IF(OR(A18="", B18=""), "Check missing data", IF(COUNTIFS($A$2:A18, A18, $B$2:B18, B18)&gt;1, "Possible Duplicate", "First Occurrence"))</f>
        <v>First Occurrence</v>
      </c>
      <c r="F18" t="str">
        <f t="shared" si="0"/>
        <v>Present</v>
      </c>
      <c r="H18" t="str">
        <f t="shared" si="1"/>
        <v>Finance</v>
      </c>
    </row>
    <row r="19" spans="1:8" x14ac:dyDescent="0.35">
      <c r="A19" s="2" t="s">
        <v>15</v>
      </c>
      <c r="B19" s="3">
        <v>46245</v>
      </c>
      <c r="C19" s="2" t="s">
        <v>246</v>
      </c>
      <c r="D19" s="2" t="s">
        <v>17</v>
      </c>
      <c r="E19" t="str">
        <f>IF(OR(A19="", B19=""), "Check missing data", IF(COUNTIFS($A$2:A19, A19, $B$2:B19, B19)&gt;1, "Possible Duplicate", "First Occurrence"))</f>
        <v>First Occurrence</v>
      </c>
      <c r="F19" t="str">
        <f t="shared" si="0"/>
        <v>Present</v>
      </c>
      <c r="H19" t="str">
        <f t="shared" si="1"/>
        <v>Finance</v>
      </c>
    </row>
    <row r="20" spans="1:8" x14ac:dyDescent="0.35">
      <c r="A20" s="2" t="s">
        <v>15</v>
      </c>
      <c r="B20" s="3">
        <v>46281</v>
      </c>
      <c r="C20" s="2" t="s">
        <v>30</v>
      </c>
      <c r="D20" s="2" t="s">
        <v>17</v>
      </c>
      <c r="E20" t="str">
        <f>IF(OR(A20="", B20=""), "Check missing data", IF(COUNTIFS($A$2:A20, A20, $B$2:B20, B20)&gt;1, "Possible Duplicate", "First Occurrence"))</f>
        <v>First Occurrence</v>
      </c>
      <c r="F20" t="str">
        <f t="shared" si="0"/>
        <v>On Leave</v>
      </c>
      <c r="H20" t="str">
        <f t="shared" si="1"/>
        <v>Finance</v>
      </c>
    </row>
    <row r="21" spans="1:8" x14ac:dyDescent="0.35">
      <c r="A21" s="2" t="s">
        <v>15</v>
      </c>
      <c r="B21" s="3">
        <v>46253</v>
      </c>
      <c r="C21" s="2" t="s">
        <v>247</v>
      </c>
      <c r="D21" s="2" t="s">
        <v>17</v>
      </c>
      <c r="E21" t="str">
        <f>IF(OR(A21="", B21=""), "Check missing data", IF(COUNTIFS($A$2:A21, A21, $B$2:B21, B21)&gt;1, "Possible Duplicate", "First Occurrence"))</f>
        <v>First Occurrence</v>
      </c>
      <c r="F21" t="str">
        <f t="shared" si="0"/>
        <v>Late</v>
      </c>
      <c r="H21" t="str">
        <f t="shared" si="1"/>
        <v>Finance</v>
      </c>
    </row>
    <row r="22" spans="1:8" x14ac:dyDescent="0.35">
      <c r="A22" s="2" t="s">
        <v>15</v>
      </c>
      <c r="B22" s="3">
        <v>46248</v>
      </c>
      <c r="C22" s="2" t="s">
        <v>30</v>
      </c>
      <c r="D22" s="2" t="s">
        <v>17</v>
      </c>
      <c r="E22" t="str">
        <f>IF(OR(A22="", B22=""), "Check missing data", IF(COUNTIFS($A$2:A22, A22, $B$2:B22, B22)&gt;1, "Possible Duplicate", "First Occurrence"))</f>
        <v>First Occurrence</v>
      </c>
      <c r="F22" t="str">
        <f t="shared" si="0"/>
        <v>On Leave</v>
      </c>
      <c r="H22" t="str">
        <f t="shared" si="1"/>
        <v>Finance</v>
      </c>
    </row>
    <row r="23" spans="1:8" x14ac:dyDescent="0.35">
      <c r="A23" s="2" t="s">
        <v>15</v>
      </c>
      <c r="B23" s="3">
        <v>46287</v>
      </c>
      <c r="C23" s="2" t="s">
        <v>246</v>
      </c>
      <c r="D23" s="2" t="s">
        <v>17</v>
      </c>
      <c r="E23" t="str">
        <f>IF(OR(A23="", B23=""), "Check missing data", IF(COUNTIFS($A$2:A23, A23, $B$2:B23, B23)&gt;1, "Possible Duplicate", "First Occurrence"))</f>
        <v>First Occurrence</v>
      </c>
      <c r="F23" t="str">
        <f t="shared" si="0"/>
        <v>Present</v>
      </c>
      <c r="H23" t="str">
        <f t="shared" si="1"/>
        <v>Finance</v>
      </c>
    </row>
    <row r="24" spans="1:8" x14ac:dyDescent="0.35">
      <c r="A24" s="2" t="s">
        <v>15</v>
      </c>
      <c r="B24" s="3">
        <v>46247</v>
      </c>
      <c r="C24" s="2" t="s">
        <v>245</v>
      </c>
      <c r="D24" s="2" t="s">
        <v>17</v>
      </c>
      <c r="E24" t="str">
        <f>IF(OR(A24="", B24=""), "Check missing data", IF(COUNTIFS($A$2:A24, A24, $B$2:B24, B24)&gt;1, "Possible Duplicate", "First Occurrence"))</f>
        <v>First Occurrence</v>
      </c>
      <c r="F24" t="str">
        <f t="shared" si="0"/>
        <v>Absent</v>
      </c>
      <c r="H24" t="str">
        <f t="shared" si="1"/>
        <v>Finance</v>
      </c>
    </row>
    <row r="25" spans="1:8" x14ac:dyDescent="0.35">
      <c r="A25" s="2" t="s">
        <v>15</v>
      </c>
      <c r="B25" s="3">
        <v>46254</v>
      </c>
      <c r="C25" s="2" t="s">
        <v>247</v>
      </c>
      <c r="D25" s="2" t="s">
        <v>17</v>
      </c>
      <c r="E25" t="str">
        <f>IF(OR(A25="", B25=""), "Check missing data", IF(COUNTIFS($A$2:A25, A25, $B$2:B25, B25)&gt;1, "Possible Duplicate", "First Occurrence"))</f>
        <v>First Occurrence</v>
      </c>
      <c r="F25" t="str">
        <f t="shared" si="0"/>
        <v>Late</v>
      </c>
      <c r="H25" t="str">
        <f t="shared" si="1"/>
        <v>Finance</v>
      </c>
    </row>
    <row r="26" spans="1:8" x14ac:dyDescent="0.35">
      <c r="A26" s="2" t="s">
        <v>20</v>
      </c>
      <c r="B26" s="3">
        <v>46240</v>
      </c>
      <c r="C26" s="2" t="s">
        <v>246</v>
      </c>
      <c r="D26" s="2" t="s">
        <v>22</v>
      </c>
      <c r="E26" t="str">
        <f>IF(OR(A26="", B26=""), "Check missing data", IF(COUNTIFS($A$2:A26, A26, $B$2:B26, B26)&gt;1, "Possible Duplicate", "First Occurrence"))</f>
        <v>First Occurrence</v>
      </c>
      <c r="F26" t="str">
        <f t="shared" si="0"/>
        <v>Present</v>
      </c>
      <c r="H26" t="str">
        <f t="shared" si="1"/>
        <v>IT</v>
      </c>
    </row>
    <row r="27" spans="1:8" x14ac:dyDescent="0.35">
      <c r="A27" s="2" t="s">
        <v>20</v>
      </c>
      <c r="B27" s="3">
        <v>46258</v>
      </c>
      <c r="C27" s="2" t="s">
        <v>247</v>
      </c>
      <c r="D27" s="2" t="s">
        <v>22</v>
      </c>
      <c r="E27" t="str">
        <f>IF(OR(A27="", B27=""), "Check missing data", IF(COUNTIFS($A$2:A27, A27, $B$2:B27, B27)&gt;1, "Possible Duplicate", "First Occurrence"))</f>
        <v>First Occurrence</v>
      </c>
      <c r="F27" t="str">
        <f t="shared" si="0"/>
        <v>Late</v>
      </c>
      <c r="H27" t="str">
        <f t="shared" si="1"/>
        <v>IT</v>
      </c>
    </row>
    <row r="28" spans="1:8" x14ac:dyDescent="0.35">
      <c r="A28" s="2" t="s">
        <v>20</v>
      </c>
      <c r="B28" s="3">
        <v>46276</v>
      </c>
      <c r="C28" s="2" t="s">
        <v>247</v>
      </c>
      <c r="D28" s="2" t="s">
        <v>22</v>
      </c>
      <c r="E28" t="str">
        <f>IF(OR(A28="", B28=""), "Check missing data", IF(COUNTIFS($A$2:A28, A28, $B$2:B28, B28)&gt;1, "Possible Duplicate", "First Occurrence"))</f>
        <v>First Occurrence</v>
      </c>
      <c r="F28" t="str">
        <f t="shared" si="0"/>
        <v>Late</v>
      </c>
      <c r="H28" t="str">
        <f t="shared" si="1"/>
        <v>IT</v>
      </c>
    </row>
    <row r="29" spans="1:8" x14ac:dyDescent="0.35">
      <c r="A29" s="2" t="s">
        <v>20</v>
      </c>
      <c r="B29" s="3">
        <v>46233</v>
      </c>
      <c r="C29" s="2" t="s">
        <v>246</v>
      </c>
      <c r="D29" s="2" t="s">
        <v>22</v>
      </c>
      <c r="E29" t="str">
        <f>IF(OR(A29="", B29=""), "Check missing data", IF(COUNTIFS($A$2:A29, A29, $B$2:B29, B29)&gt;1, "Possible Duplicate", "First Occurrence"))</f>
        <v>First Occurrence</v>
      </c>
      <c r="F29" t="str">
        <f t="shared" si="0"/>
        <v>Present</v>
      </c>
      <c r="H29" t="str">
        <f t="shared" si="1"/>
        <v>IT</v>
      </c>
    </row>
    <row r="30" spans="1:8" x14ac:dyDescent="0.35">
      <c r="A30" s="2" t="s">
        <v>20</v>
      </c>
      <c r="B30" s="3">
        <v>46280</v>
      </c>
      <c r="C30" s="2" t="s">
        <v>30</v>
      </c>
      <c r="D30" s="2" t="s">
        <v>22</v>
      </c>
      <c r="E30" t="str">
        <f>IF(OR(A30="", B30=""), "Check missing data", IF(COUNTIFS($A$2:A30, A30, $B$2:B30, B30)&gt;1, "Possible Duplicate", "First Occurrence"))</f>
        <v>First Occurrence</v>
      </c>
      <c r="F30" t="str">
        <f t="shared" si="0"/>
        <v>On Leave</v>
      </c>
      <c r="H30" t="str">
        <f t="shared" si="1"/>
        <v>IT</v>
      </c>
    </row>
    <row r="31" spans="1:8" x14ac:dyDescent="0.35">
      <c r="A31" s="2" t="s">
        <v>20</v>
      </c>
      <c r="B31" s="3">
        <v>46273</v>
      </c>
      <c r="C31" s="2" t="s">
        <v>246</v>
      </c>
      <c r="D31" s="2" t="s">
        <v>22</v>
      </c>
      <c r="E31" t="str">
        <f>IF(OR(A31="", B31=""), "Check missing data", IF(COUNTIFS($A$2:A31, A31, $B$2:B31, B31)&gt;1, "Possible Duplicate", "First Occurrence"))</f>
        <v>First Occurrence</v>
      </c>
      <c r="F31" t="str">
        <f t="shared" si="0"/>
        <v>Present</v>
      </c>
      <c r="H31" t="str">
        <f t="shared" si="1"/>
        <v>IT</v>
      </c>
    </row>
    <row r="32" spans="1:8" x14ac:dyDescent="0.35">
      <c r="A32" s="2" t="s">
        <v>20</v>
      </c>
      <c r="B32" s="3">
        <v>46287</v>
      </c>
      <c r="C32" s="2" t="s">
        <v>246</v>
      </c>
      <c r="D32" s="2" t="s">
        <v>22</v>
      </c>
      <c r="E32" t="str">
        <f>IF(OR(A32="", B32=""), "Check missing data", IF(COUNTIFS($A$2:A32, A32, $B$2:B32, B32)&gt;1, "Possible Duplicate", "First Occurrence"))</f>
        <v>First Occurrence</v>
      </c>
      <c r="F32" t="str">
        <f t="shared" si="0"/>
        <v>Present</v>
      </c>
      <c r="H32" t="str">
        <f t="shared" si="1"/>
        <v>IT</v>
      </c>
    </row>
    <row r="33" spans="1:8" x14ac:dyDescent="0.35">
      <c r="A33" s="2" t="s">
        <v>20</v>
      </c>
      <c r="B33" s="3">
        <v>46212</v>
      </c>
      <c r="C33" s="2" t="s">
        <v>246</v>
      </c>
      <c r="D33" s="2" t="s">
        <v>22</v>
      </c>
      <c r="E33" t="str">
        <f>IF(OR(A33="", B33=""), "Check missing data", IF(COUNTIFS($A$2:A33, A33, $B$2:B33, B33)&gt;1, "Possible Duplicate", "First Occurrence"))</f>
        <v>First Occurrence</v>
      </c>
      <c r="F33" t="str">
        <f t="shared" si="0"/>
        <v>Present</v>
      </c>
      <c r="H33" t="str">
        <f t="shared" si="1"/>
        <v>IT</v>
      </c>
    </row>
    <row r="34" spans="1:8" x14ac:dyDescent="0.35">
      <c r="A34" s="2" t="s">
        <v>20</v>
      </c>
      <c r="B34" s="3">
        <v>46251</v>
      </c>
      <c r="C34" s="2" t="s">
        <v>246</v>
      </c>
      <c r="D34" s="2" t="s">
        <v>22</v>
      </c>
      <c r="E34" t="str">
        <f>IF(OR(A34="", B34=""), "Check missing data", IF(COUNTIFS($A$2:A34, A34, $B$2:B34, B34)&gt;1, "Possible Duplicate", "First Occurrence"))</f>
        <v>First Occurrence</v>
      </c>
      <c r="F34" t="str">
        <f t="shared" si="0"/>
        <v>Present</v>
      </c>
      <c r="H34" t="str">
        <f t="shared" si="1"/>
        <v>IT</v>
      </c>
    </row>
    <row r="35" spans="1:8" x14ac:dyDescent="0.35">
      <c r="A35" s="2" t="s">
        <v>20</v>
      </c>
      <c r="B35" s="3">
        <v>46274</v>
      </c>
      <c r="C35" s="2" t="s">
        <v>247</v>
      </c>
      <c r="D35" s="2" t="s">
        <v>22</v>
      </c>
      <c r="E35" t="str">
        <f>IF(OR(A35="", B35=""), "Check missing data", IF(COUNTIFS($A$2:A35, A35, $B$2:B35, B35)&gt;1, "Possible Duplicate", "First Occurrence"))</f>
        <v>First Occurrence</v>
      </c>
      <c r="F35" t="str">
        <f t="shared" si="0"/>
        <v>Late</v>
      </c>
      <c r="H35" t="str">
        <f t="shared" si="1"/>
        <v>IT</v>
      </c>
    </row>
    <row r="36" spans="1:8" x14ac:dyDescent="0.35">
      <c r="A36" s="2" t="s">
        <v>20</v>
      </c>
      <c r="B36" s="3">
        <v>46205</v>
      </c>
      <c r="C36" s="2" t="s">
        <v>246</v>
      </c>
      <c r="D36" s="2" t="s">
        <v>22</v>
      </c>
      <c r="E36" t="str">
        <f>IF(OR(A36="", B36=""), "Check missing data", IF(COUNTIFS($A$2:A36, A36, $B$2:B36, B36)&gt;1, "Possible Duplicate", "First Occurrence"))</f>
        <v>First Occurrence</v>
      </c>
      <c r="F36" t="str">
        <f t="shared" si="0"/>
        <v>Present</v>
      </c>
      <c r="H36" t="str">
        <f t="shared" si="1"/>
        <v>IT</v>
      </c>
    </row>
    <row r="37" spans="1:8" x14ac:dyDescent="0.35">
      <c r="A37" s="2" t="s">
        <v>20</v>
      </c>
      <c r="B37" s="3">
        <v>46211</v>
      </c>
      <c r="C37" s="2" t="s">
        <v>246</v>
      </c>
      <c r="D37" s="2" t="s">
        <v>22</v>
      </c>
      <c r="E37" t="str">
        <f>IF(OR(A37="", B37=""), "Check missing data", IF(COUNTIFS($A$2:A37, A37, $B$2:B37, B37)&gt;1, "Possible Duplicate", "First Occurrence"))</f>
        <v>First Occurrence</v>
      </c>
      <c r="F37" t="str">
        <f t="shared" si="0"/>
        <v>Present</v>
      </c>
      <c r="H37" t="str">
        <f t="shared" si="1"/>
        <v>IT</v>
      </c>
    </row>
    <row r="38" spans="1:8" x14ac:dyDescent="0.35">
      <c r="A38" s="2" t="s">
        <v>25</v>
      </c>
      <c r="B38" s="3">
        <v>46258</v>
      </c>
      <c r="C38" s="2" t="s">
        <v>245</v>
      </c>
      <c r="D38" s="2" t="s">
        <v>11</v>
      </c>
      <c r="E38" t="str">
        <f>IF(OR(A38="", B38=""), "Check missing data", IF(COUNTIFS($A$2:A38, A38, $B$2:B38, B38)&gt;1, "Possible Duplicate", "First Occurrence"))</f>
        <v>First Occurrence</v>
      </c>
      <c r="F38" t="str">
        <f t="shared" si="0"/>
        <v>Absent</v>
      </c>
      <c r="H38" t="str">
        <f t="shared" si="1"/>
        <v>Operations</v>
      </c>
    </row>
    <row r="39" spans="1:8" x14ac:dyDescent="0.35">
      <c r="A39" s="2" t="s">
        <v>25</v>
      </c>
      <c r="B39" s="3">
        <v>46288</v>
      </c>
      <c r="C39" s="2" t="s">
        <v>246</v>
      </c>
      <c r="D39" s="2" t="s">
        <v>11</v>
      </c>
      <c r="E39" t="str">
        <f>IF(OR(A39="", B39=""), "Check missing data", IF(COUNTIFS($A$2:A39, A39, $B$2:B39, B39)&gt;1, "Possible Duplicate", "First Occurrence"))</f>
        <v>First Occurrence</v>
      </c>
      <c r="F39" t="str">
        <f t="shared" si="0"/>
        <v>Present</v>
      </c>
      <c r="H39" t="str">
        <f t="shared" si="1"/>
        <v>Operations</v>
      </c>
    </row>
    <row r="40" spans="1:8" x14ac:dyDescent="0.35">
      <c r="A40" s="2" t="s">
        <v>25</v>
      </c>
      <c r="B40" s="3">
        <v>46224</v>
      </c>
      <c r="C40" s="2" t="s">
        <v>30</v>
      </c>
      <c r="D40" s="2" t="s">
        <v>11</v>
      </c>
      <c r="E40" t="str">
        <f>IF(OR(A40="", B40=""), "Check missing data", IF(COUNTIFS($A$2:A40, A40, $B$2:B40, B40)&gt;1, "Possible Duplicate", "First Occurrence"))</f>
        <v>First Occurrence</v>
      </c>
      <c r="F40" t="str">
        <f t="shared" si="0"/>
        <v>On Leave</v>
      </c>
      <c r="H40" t="str">
        <f t="shared" si="1"/>
        <v>Operations</v>
      </c>
    </row>
    <row r="41" spans="1:8" x14ac:dyDescent="0.35">
      <c r="A41" s="2" t="s">
        <v>25</v>
      </c>
      <c r="B41" s="3">
        <v>46295</v>
      </c>
      <c r="C41" s="2" t="s">
        <v>246</v>
      </c>
      <c r="D41" s="2" t="s">
        <v>11</v>
      </c>
      <c r="E41" t="str">
        <f>IF(OR(A41="", B41=""), "Check missing data", IF(COUNTIFS($A$2:A41, A41, $B$2:B41, B41)&gt;1, "Possible Duplicate", "First Occurrence"))</f>
        <v>First Occurrence</v>
      </c>
      <c r="F41" t="str">
        <f t="shared" si="0"/>
        <v>Present</v>
      </c>
      <c r="H41" t="str">
        <f t="shared" si="1"/>
        <v>Operations</v>
      </c>
    </row>
    <row r="42" spans="1:8" x14ac:dyDescent="0.35">
      <c r="A42" s="2" t="s">
        <v>25</v>
      </c>
      <c r="B42" s="3">
        <v>46244</v>
      </c>
      <c r="C42" s="2" t="s">
        <v>246</v>
      </c>
      <c r="D42" s="2" t="s">
        <v>11</v>
      </c>
      <c r="E42" t="str">
        <f>IF(OR(A42="", B42=""), "Check missing data", IF(COUNTIFS($A$2:A42, A42, $B$2:B42, B42)&gt;1, "Possible Duplicate", "First Occurrence"))</f>
        <v>First Occurrence</v>
      </c>
      <c r="F42" t="str">
        <f t="shared" si="0"/>
        <v>Present</v>
      </c>
      <c r="H42" t="str">
        <f t="shared" si="1"/>
        <v>Operations</v>
      </c>
    </row>
    <row r="43" spans="1:8" x14ac:dyDescent="0.35">
      <c r="A43" s="2" t="s">
        <v>25</v>
      </c>
      <c r="B43" s="3">
        <v>46267</v>
      </c>
      <c r="C43" s="2" t="s">
        <v>246</v>
      </c>
      <c r="D43" s="2" t="s">
        <v>11</v>
      </c>
      <c r="E43" t="str">
        <f>IF(OR(A43="", B43=""), "Check missing data", IF(COUNTIFS($A$2:A43, A43, $B$2:B43, B43)&gt;1, "Possible Duplicate", "First Occurrence"))</f>
        <v>First Occurrence</v>
      </c>
      <c r="F43" t="str">
        <f t="shared" si="0"/>
        <v>Present</v>
      </c>
      <c r="H43" t="str">
        <f t="shared" si="1"/>
        <v>Operations</v>
      </c>
    </row>
    <row r="44" spans="1:8" x14ac:dyDescent="0.35">
      <c r="A44" s="2" t="s">
        <v>25</v>
      </c>
      <c r="B44" s="3">
        <v>46238</v>
      </c>
      <c r="C44" s="2" t="s">
        <v>30</v>
      </c>
      <c r="D44" s="2" t="s">
        <v>11</v>
      </c>
      <c r="E44" t="str">
        <f>IF(OR(A44="", B44=""), "Check missing data", IF(COUNTIFS($A$2:A44, A44, $B$2:B44, B44)&gt;1, "Possible Duplicate", "First Occurrence"))</f>
        <v>First Occurrence</v>
      </c>
      <c r="F44" t="str">
        <f t="shared" si="0"/>
        <v>On Leave</v>
      </c>
      <c r="H44" t="str">
        <f t="shared" si="1"/>
        <v>Operations</v>
      </c>
    </row>
    <row r="45" spans="1:8" x14ac:dyDescent="0.35">
      <c r="A45" s="2" t="s">
        <v>25</v>
      </c>
      <c r="B45" s="3">
        <v>46279</v>
      </c>
      <c r="C45" s="2" t="s">
        <v>246</v>
      </c>
      <c r="D45" s="2" t="s">
        <v>11</v>
      </c>
      <c r="E45" t="str">
        <f>IF(OR(A45="", B45=""), "Check missing data", IF(COUNTIFS($A$2:A45, A45, $B$2:B45, B45)&gt;1, "Possible Duplicate", "First Occurrence"))</f>
        <v>First Occurrence</v>
      </c>
      <c r="F45" t="str">
        <f t="shared" si="0"/>
        <v>Present</v>
      </c>
      <c r="H45" t="str">
        <f t="shared" si="1"/>
        <v>Operations</v>
      </c>
    </row>
    <row r="46" spans="1:8" x14ac:dyDescent="0.35">
      <c r="A46" s="2" t="s">
        <v>25</v>
      </c>
      <c r="B46" s="3">
        <v>46261</v>
      </c>
      <c r="C46" s="2" t="s">
        <v>246</v>
      </c>
      <c r="D46" s="2" t="s">
        <v>11</v>
      </c>
      <c r="E46" t="str">
        <f>IF(OR(A46="", B46=""), "Check missing data", IF(COUNTIFS($A$2:A46, A46, $B$2:B46, B46)&gt;1, "Possible Duplicate", "First Occurrence"))</f>
        <v>First Occurrence</v>
      </c>
      <c r="F46" t="str">
        <f t="shared" si="0"/>
        <v>Present</v>
      </c>
      <c r="H46" t="str">
        <f t="shared" si="1"/>
        <v>Operations</v>
      </c>
    </row>
    <row r="47" spans="1:8" x14ac:dyDescent="0.35">
      <c r="A47" s="2" t="s">
        <v>25</v>
      </c>
      <c r="B47" s="3">
        <v>46247</v>
      </c>
      <c r="C47" s="2" t="s">
        <v>246</v>
      </c>
      <c r="D47" s="2" t="s">
        <v>11</v>
      </c>
      <c r="E47" t="str">
        <f>IF(OR(A47="", B47=""), "Check missing data", IF(COUNTIFS($A$2:A47, A47, $B$2:B47, B47)&gt;1, "Possible Duplicate", "First Occurrence"))</f>
        <v>First Occurrence</v>
      </c>
      <c r="F47" t="str">
        <f t="shared" si="0"/>
        <v>Present</v>
      </c>
      <c r="H47" t="str">
        <f t="shared" si="1"/>
        <v>Operations</v>
      </c>
    </row>
    <row r="48" spans="1:8" x14ac:dyDescent="0.35">
      <c r="A48" s="2" t="s">
        <v>25</v>
      </c>
      <c r="B48" s="3">
        <v>46294</v>
      </c>
      <c r="C48" s="2" t="s">
        <v>245</v>
      </c>
      <c r="D48" s="2" t="s">
        <v>11</v>
      </c>
      <c r="E48" t="str">
        <f>IF(OR(A48="", B48=""), "Check missing data", IF(COUNTIFS($A$2:A48, A48, $B$2:B48, B48)&gt;1, "Possible Duplicate", "First Occurrence"))</f>
        <v>First Occurrence</v>
      </c>
      <c r="F48" t="str">
        <f t="shared" si="0"/>
        <v>Absent</v>
      </c>
      <c r="H48" t="str">
        <f t="shared" si="1"/>
        <v>Operations</v>
      </c>
    </row>
    <row r="49" spans="1:8" x14ac:dyDescent="0.35">
      <c r="A49" s="2" t="s">
        <v>25</v>
      </c>
      <c r="B49" s="3">
        <v>46287</v>
      </c>
      <c r="C49" s="2" t="s">
        <v>246</v>
      </c>
      <c r="D49" s="2" t="s">
        <v>11</v>
      </c>
      <c r="E49" t="str">
        <f>IF(OR(A49="", B49=""), "Check missing data", IF(COUNTIFS($A$2:A49, A49, $B$2:B49, B49)&gt;1, "Possible Duplicate", "First Occurrence"))</f>
        <v>First Occurrence</v>
      </c>
      <c r="F49" t="str">
        <f t="shared" si="0"/>
        <v>Present</v>
      </c>
      <c r="H49" t="str">
        <f t="shared" si="1"/>
        <v>Operations</v>
      </c>
    </row>
    <row r="50" spans="1:8" x14ac:dyDescent="0.35">
      <c r="A50" s="2" t="s">
        <v>28</v>
      </c>
      <c r="B50" s="3">
        <v>46267</v>
      </c>
      <c r="C50" s="2" t="s">
        <v>246</v>
      </c>
      <c r="D50" s="2" t="s">
        <v>11</v>
      </c>
      <c r="E50" t="str">
        <f>IF(OR(A50="", B50=""), "Check missing data", IF(COUNTIFS($A$2:A50, A50, $B$2:B50, B50)&gt;1, "Possible Duplicate", "First Occurrence"))</f>
        <v>First Occurrence</v>
      </c>
      <c r="F50" t="str">
        <f t="shared" si="0"/>
        <v>Present</v>
      </c>
      <c r="H50" t="str">
        <f t="shared" si="1"/>
        <v>Operations</v>
      </c>
    </row>
    <row r="51" spans="1:8" x14ac:dyDescent="0.35">
      <c r="A51" s="2" t="s">
        <v>28</v>
      </c>
      <c r="B51" s="3">
        <v>46252</v>
      </c>
      <c r="C51" s="2" t="s">
        <v>245</v>
      </c>
      <c r="D51" s="2" t="s">
        <v>11</v>
      </c>
      <c r="E51" t="str">
        <f>IF(OR(A51="", B51=""), "Check missing data", IF(COUNTIFS($A$2:A51, A51, $B$2:B51, B51)&gt;1, "Possible Duplicate", "First Occurrence"))</f>
        <v>First Occurrence</v>
      </c>
      <c r="F51" t="str">
        <f t="shared" si="0"/>
        <v>Absent</v>
      </c>
      <c r="H51" t="str">
        <f t="shared" si="1"/>
        <v>Operations</v>
      </c>
    </row>
    <row r="52" spans="1:8" x14ac:dyDescent="0.35">
      <c r="A52" s="2" t="s">
        <v>28</v>
      </c>
      <c r="B52" s="3">
        <v>46254</v>
      </c>
      <c r="C52" s="2" t="s">
        <v>246</v>
      </c>
      <c r="D52" s="2" t="s">
        <v>11</v>
      </c>
      <c r="E52" t="str">
        <f>IF(OR(A52="", B52=""), "Check missing data", IF(COUNTIFS($A$2:A52, A52, $B$2:B52, B52)&gt;1, "Possible Duplicate", "First Occurrence"))</f>
        <v>First Occurrence</v>
      </c>
      <c r="F52" t="str">
        <f t="shared" si="0"/>
        <v>Present</v>
      </c>
      <c r="H52" t="str">
        <f t="shared" si="1"/>
        <v>Operations</v>
      </c>
    </row>
    <row r="53" spans="1:8" x14ac:dyDescent="0.35">
      <c r="A53" s="2" t="s">
        <v>28</v>
      </c>
      <c r="B53" s="3">
        <v>46233</v>
      </c>
      <c r="C53" s="2" t="s">
        <v>246</v>
      </c>
      <c r="D53" s="2" t="s">
        <v>11</v>
      </c>
      <c r="E53" t="str">
        <f>IF(OR(A53="", B53=""), "Check missing data", IF(COUNTIFS($A$2:A53, A53, $B$2:B53, B53)&gt;1, "Possible Duplicate", "First Occurrence"))</f>
        <v>First Occurrence</v>
      </c>
      <c r="F53" t="str">
        <f t="shared" si="0"/>
        <v>Present</v>
      </c>
      <c r="H53" t="str">
        <f t="shared" si="1"/>
        <v>Operations</v>
      </c>
    </row>
    <row r="54" spans="1:8" x14ac:dyDescent="0.35">
      <c r="A54" s="2" t="s">
        <v>28</v>
      </c>
      <c r="B54" s="3">
        <v>46259</v>
      </c>
      <c r="C54" s="2" t="s">
        <v>246</v>
      </c>
      <c r="D54" s="2" t="s">
        <v>11</v>
      </c>
      <c r="E54" t="str">
        <f>IF(OR(A54="", B54=""), "Check missing data", IF(COUNTIFS($A$2:A54, A54, $B$2:B54, B54)&gt;1, "Possible Duplicate", "First Occurrence"))</f>
        <v>First Occurrence</v>
      </c>
      <c r="F54" t="str">
        <f t="shared" si="0"/>
        <v>Present</v>
      </c>
      <c r="H54" t="str">
        <f t="shared" si="1"/>
        <v>Operations</v>
      </c>
    </row>
    <row r="55" spans="1:8" x14ac:dyDescent="0.35">
      <c r="A55" s="2" t="s">
        <v>28</v>
      </c>
      <c r="B55" s="3">
        <v>46275</v>
      </c>
      <c r="C55" s="2" t="s">
        <v>247</v>
      </c>
      <c r="D55" s="2" t="s">
        <v>11</v>
      </c>
      <c r="E55" t="str">
        <f>IF(OR(A55="", B55=""), "Check missing data", IF(COUNTIFS($A$2:A55, A55, $B$2:B55, B55)&gt;1, "Possible Duplicate", "First Occurrence"))</f>
        <v>First Occurrence</v>
      </c>
      <c r="F55" t="str">
        <f t="shared" si="0"/>
        <v>Late</v>
      </c>
      <c r="H55" t="str">
        <f t="shared" si="1"/>
        <v>Operations</v>
      </c>
    </row>
    <row r="56" spans="1:8" x14ac:dyDescent="0.35">
      <c r="A56" s="2" t="s">
        <v>28</v>
      </c>
      <c r="B56" s="3">
        <v>46295</v>
      </c>
      <c r="C56" s="2" t="s">
        <v>245</v>
      </c>
      <c r="D56" s="2" t="s">
        <v>11</v>
      </c>
      <c r="E56" t="str">
        <f>IF(OR(A56="", B56=""), "Check missing data", IF(COUNTIFS($A$2:A56, A56, $B$2:B56, B56)&gt;1, "Possible Duplicate", "First Occurrence"))</f>
        <v>First Occurrence</v>
      </c>
      <c r="F56" t="str">
        <f t="shared" si="0"/>
        <v>Absent</v>
      </c>
      <c r="H56" t="str">
        <f t="shared" si="1"/>
        <v>Operations</v>
      </c>
    </row>
    <row r="57" spans="1:8" x14ac:dyDescent="0.35">
      <c r="A57" s="2" t="s">
        <v>28</v>
      </c>
      <c r="B57" s="3">
        <v>46212</v>
      </c>
      <c r="C57" s="2" t="s">
        <v>30</v>
      </c>
      <c r="D57" s="2" t="s">
        <v>11</v>
      </c>
      <c r="E57" t="str">
        <f>IF(OR(A57="", B57=""), "Check missing data", IF(COUNTIFS($A$2:A57, A57, $B$2:B57, B57)&gt;1, "Possible Duplicate", "First Occurrence"))</f>
        <v>First Occurrence</v>
      </c>
      <c r="F57" t="str">
        <f t="shared" si="0"/>
        <v>On Leave</v>
      </c>
      <c r="H57" t="str">
        <f t="shared" si="1"/>
        <v>Operations</v>
      </c>
    </row>
    <row r="58" spans="1:8" x14ac:dyDescent="0.35">
      <c r="A58" s="2" t="s">
        <v>28</v>
      </c>
      <c r="B58" s="3">
        <v>46258</v>
      </c>
      <c r="C58" s="2" t="s">
        <v>30</v>
      </c>
      <c r="D58" s="2" t="s">
        <v>11</v>
      </c>
      <c r="E58" t="str">
        <f>IF(OR(A58="", B58=""), "Check missing data", IF(COUNTIFS($A$2:A58, A58, $B$2:B58, B58)&gt;1, "Possible Duplicate", "First Occurrence"))</f>
        <v>First Occurrence</v>
      </c>
      <c r="F58" t="str">
        <f t="shared" si="0"/>
        <v>On Leave</v>
      </c>
      <c r="H58" t="str">
        <f t="shared" si="1"/>
        <v>Operations</v>
      </c>
    </row>
    <row r="59" spans="1:8" x14ac:dyDescent="0.35">
      <c r="A59" s="2" t="s">
        <v>28</v>
      </c>
      <c r="B59" s="3">
        <v>46276</v>
      </c>
      <c r="C59" s="2" t="s">
        <v>246</v>
      </c>
      <c r="D59" s="2" t="s">
        <v>11</v>
      </c>
      <c r="E59" t="str">
        <f>IF(OR(A59="", B59=""), "Check missing data", IF(COUNTIFS($A$2:A59, A59, $B$2:B59, B59)&gt;1, "Possible Duplicate", "First Occurrence"))</f>
        <v>First Occurrence</v>
      </c>
      <c r="F59" t="str">
        <f t="shared" si="0"/>
        <v>Present</v>
      </c>
      <c r="H59" t="str">
        <f t="shared" si="1"/>
        <v>Operations</v>
      </c>
    </row>
    <row r="60" spans="1:8" x14ac:dyDescent="0.35">
      <c r="A60" s="2" t="s">
        <v>28</v>
      </c>
      <c r="B60" s="3">
        <v>46224</v>
      </c>
      <c r="C60" s="2" t="s">
        <v>245</v>
      </c>
      <c r="D60" s="2" t="s">
        <v>11</v>
      </c>
      <c r="E60" t="str">
        <f>IF(OR(A60="", B60=""), "Check missing data", IF(COUNTIFS($A$2:A60, A60, $B$2:B60, B60)&gt;1, "Possible Duplicate", "First Occurrence"))</f>
        <v>First Occurrence</v>
      </c>
      <c r="F60" t="str">
        <f t="shared" si="0"/>
        <v>Absent</v>
      </c>
      <c r="H60" t="str">
        <f t="shared" si="1"/>
        <v>Operations</v>
      </c>
    </row>
    <row r="61" spans="1:8" x14ac:dyDescent="0.35">
      <c r="A61" s="2" t="s">
        <v>28</v>
      </c>
      <c r="B61" s="3">
        <v>46272</v>
      </c>
      <c r="C61" s="2" t="s">
        <v>30</v>
      </c>
      <c r="D61" s="2" t="s">
        <v>11</v>
      </c>
      <c r="E61" t="str">
        <f>IF(OR(A61="", B61=""), "Check missing data", IF(COUNTIFS($A$2:A61, A61, $B$2:B61, B61)&gt;1, "Possible Duplicate", "First Occurrence"))</f>
        <v>First Occurrence</v>
      </c>
      <c r="F61" t="str">
        <f t="shared" si="0"/>
        <v>On Leave</v>
      </c>
      <c r="H61" t="str">
        <f t="shared" si="1"/>
        <v>Operations</v>
      </c>
    </row>
    <row r="62" spans="1:8" x14ac:dyDescent="0.35">
      <c r="A62" s="2" t="s">
        <v>31</v>
      </c>
      <c r="B62" s="3">
        <v>46247</v>
      </c>
      <c r="C62" s="2" t="s">
        <v>30</v>
      </c>
      <c r="D62" s="2" t="s">
        <v>33</v>
      </c>
      <c r="E62" t="str">
        <f>IF(OR(A62="", B62=""), "Check missing data", IF(COUNTIFS($A$2:A62, A62, $B$2:B62, B62)&gt;1, "Possible Duplicate", "First Occurrence"))</f>
        <v>First Occurrence</v>
      </c>
      <c r="F62" t="str">
        <f t="shared" si="0"/>
        <v>On Leave</v>
      </c>
      <c r="H62" t="str">
        <f t="shared" si="1"/>
        <v>Sales</v>
      </c>
    </row>
    <row r="63" spans="1:8" x14ac:dyDescent="0.35">
      <c r="A63" s="2" t="s">
        <v>31</v>
      </c>
      <c r="B63" s="3">
        <v>46293</v>
      </c>
      <c r="C63" s="2" t="s">
        <v>245</v>
      </c>
      <c r="D63" s="2" t="s">
        <v>33</v>
      </c>
      <c r="E63" t="str">
        <f>IF(OR(A63="", B63=""), "Check missing data", IF(COUNTIFS($A$2:A63, A63, $B$2:B63, B63)&gt;1, "Possible Duplicate", "First Occurrence"))</f>
        <v>First Occurrence</v>
      </c>
      <c r="F63" t="str">
        <f t="shared" si="0"/>
        <v>Absent</v>
      </c>
      <c r="H63" t="str">
        <f t="shared" si="1"/>
        <v>Sales</v>
      </c>
    </row>
    <row r="64" spans="1:8" x14ac:dyDescent="0.35">
      <c r="A64" s="2" t="s">
        <v>31</v>
      </c>
      <c r="B64" s="3">
        <v>46253</v>
      </c>
      <c r="C64" s="2" t="s">
        <v>30</v>
      </c>
      <c r="D64" s="2" t="s">
        <v>33</v>
      </c>
      <c r="E64" t="str">
        <f>IF(OR(A64="", B64=""), "Check missing data", IF(COUNTIFS($A$2:A64, A64, $B$2:B64, B64)&gt;1, "Possible Duplicate", "First Occurrence"))</f>
        <v>First Occurrence</v>
      </c>
      <c r="F64" t="str">
        <f t="shared" si="0"/>
        <v>On Leave</v>
      </c>
      <c r="H64" t="str">
        <f t="shared" si="1"/>
        <v>Sales</v>
      </c>
    </row>
    <row r="65" spans="1:8" x14ac:dyDescent="0.35">
      <c r="A65" s="2" t="s">
        <v>31</v>
      </c>
      <c r="B65" s="3">
        <v>46230</v>
      </c>
      <c r="C65" s="2" t="s">
        <v>246</v>
      </c>
      <c r="D65" s="2" t="s">
        <v>33</v>
      </c>
      <c r="E65" t="str">
        <f>IF(OR(A65="", B65=""), "Check missing data", IF(COUNTIFS($A$2:A65, A65, $B$2:B65, B65)&gt;1, "Possible Duplicate", "First Occurrence"))</f>
        <v>First Occurrence</v>
      </c>
      <c r="F65" t="str">
        <f t="shared" si="0"/>
        <v>Present</v>
      </c>
      <c r="H65" t="str">
        <f t="shared" si="1"/>
        <v>Sales</v>
      </c>
    </row>
    <row r="66" spans="1:8" x14ac:dyDescent="0.35">
      <c r="A66" s="2" t="s">
        <v>31</v>
      </c>
      <c r="B66" s="3">
        <v>46245</v>
      </c>
      <c r="C66" s="2" t="s">
        <v>30</v>
      </c>
      <c r="D66" s="2" t="s">
        <v>33</v>
      </c>
      <c r="E66" t="str">
        <f>IF(OR(A66="", B66=""), "Check missing data", IF(COUNTIFS($A$2:A66, A66, $B$2:B66, B66)&gt;1, "Possible Duplicate", "First Occurrence"))</f>
        <v>First Occurrence</v>
      </c>
      <c r="F66" t="str">
        <f t="shared" si="0"/>
        <v>On Leave</v>
      </c>
      <c r="H66" t="str">
        <f t="shared" si="1"/>
        <v>Sales</v>
      </c>
    </row>
    <row r="67" spans="1:8" x14ac:dyDescent="0.35">
      <c r="A67" s="2" t="s">
        <v>31</v>
      </c>
      <c r="B67" s="3">
        <v>46287</v>
      </c>
      <c r="C67" s="2" t="s">
        <v>30</v>
      </c>
      <c r="D67" s="2" t="s">
        <v>33</v>
      </c>
      <c r="E67" t="str">
        <f>IF(OR(A67="", B67=""), "Check missing data", IF(COUNTIFS($A$2:A67, A67, $B$2:B67, B67)&gt;1, "Possible Duplicate", "First Occurrence"))</f>
        <v>First Occurrence</v>
      </c>
      <c r="F67" t="str">
        <f t="shared" ref="F67:F130" si="2">PROPER(TRIM(C67))</f>
        <v>On Leave</v>
      </c>
      <c r="H67" t="str">
        <f t="shared" ref="H67:H130" si="3">TRIM(CLEAN(D67))</f>
        <v>Sales</v>
      </c>
    </row>
    <row r="68" spans="1:8" x14ac:dyDescent="0.35">
      <c r="A68" s="2" t="s">
        <v>31</v>
      </c>
      <c r="B68" s="3">
        <v>46204</v>
      </c>
      <c r="C68" s="2" t="s">
        <v>30</v>
      </c>
      <c r="D68" s="2" t="s">
        <v>33</v>
      </c>
      <c r="E68" t="str">
        <f>IF(OR(A68="", B68=""), "Check missing data", IF(COUNTIFS($A$2:A68, A68, $B$2:B68, B68)&gt;1, "Possible Duplicate", "First Occurrence"))</f>
        <v>First Occurrence</v>
      </c>
      <c r="F68" t="str">
        <f t="shared" si="2"/>
        <v>On Leave</v>
      </c>
      <c r="H68" t="str">
        <f t="shared" si="3"/>
        <v>Sales</v>
      </c>
    </row>
    <row r="69" spans="1:8" x14ac:dyDescent="0.35">
      <c r="A69" s="2" t="s">
        <v>31</v>
      </c>
      <c r="B69" s="3">
        <v>46225</v>
      </c>
      <c r="C69" s="2" t="s">
        <v>246</v>
      </c>
      <c r="D69" s="2" t="s">
        <v>33</v>
      </c>
      <c r="E69" t="str">
        <f>IF(OR(A69="", B69=""), "Check missing data", IF(COUNTIFS($A$2:A69, A69, $B$2:B69, B69)&gt;1, "Possible Duplicate", "First Occurrence"))</f>
        <v>First Occurrence</v>
      </c>
      <c r="F69" t="str">
        <f t="shared" si="2"/>
        <v>Present</v>
      </c>
      <c r="H69" t="str">
        <f t="shared" si="3"/>
        <v>Sales</v>
      </c>
    </row>
    <row r="70" spans="1:8" x14ac:dyDescent="0.35">
      <c r="A70" s="2" t="s">
        <v>31</v>
      </c>
      <c r="B70" s="3">
        <v>46282</v>
      </c>
      <c r="C70" s="2" t="s">
        <v>246</v>
      </c>
      <c r="D70" s="2" t="s">
        <v>33</v>
      </c>
      <c r="E70" t="str">
        <f>IF(OR(A70="", B70=""), "Check missing data", IF(COUNTIFS($A$2:A70, A70, $B$2:B70, B70)&gt;1, "Possible Duplicate", "First Occurrence"))</f>
        <v>First Occurrence</v>
      </c>
      <c r="F70" t="str">
        <f t="shared" si="2"/>
        <v>Present</v>
      </c>
      <c r="H70" t="str">
        <f t="shared" si="3"/>
        <v>Sales</v>
      </c>
    </row>
    <row r="71" spans="1:8" x14ac:dyDescent="0.35">
      <c r="A71" s="2" t="s">
        <v>31</v>
      </c>
      <c r="B71" s="3">
        <v>46232</v>
      </c>
      <c r="C71" s="2" t="s">
        <v>246</v>
      </c>
      <c r="D71" s="2" t="s">
        <v>33</v>
      </c>
      <c r="E71" t="str">
        <f>IF(OR(A71="", B71=""), "Check missing data", IF(COUNTIFS($A$2:A71, A71, $B$2:B71, B71)&gt;1, "Possible Duplicate", "First Occurrence"))</f>
        <v>First Occurrence</v>
      </c>
      <c r="F71" t="str">
        <f t="shared" si="2"/>
        <v>Present</v>
      </c>
      <c r="H71" t="str">
        <f t="shared" si="3"/>
        <v>Sales</v>
      </c>
    </row>
    <row r="72" spans="1:8" x14ac:dyDescent="0.35">
      <c r="A72" s="2" t="s">
        <v>31</v>
      </c>
      <c r="B72" s="3">
        <v>46218</v>
      </c>
      <c r="C72" s="2" t="s">
        <v>247</v>
      </c>
      <c r="D72" s="2" t="s">
        <v>33</v>
      </c>
      <c r="E72" t="str">
        <f>IF(OR(A72="", B72=""), "Check missing data", IF(COUNTIFS($A$2:A72, A72, $B$2:B72, B72)&gt;1, "Possible Duplicate", "First Occurrence"))</f>
        <v>First Occurrence</v>
      </c>
      <c r="F72" t="str">
        <f t="shared" si="2"/>
        <v>Late</v>
      </c>
      <c r="H72" t="str">
        <f t="shared" si="3"/>
        <v>Sales</v>
      </c>
    </row>
    <row r="73" spans="1:8" x14ac:dyDescent="0.35">
      <c r="A73" s="2" t="s">
        <v>31</v>
      </c>
      <c r="B73" s="3">
        <v>46237</v>
      </c>
      <c r="C73" s="2" t="s">
        <v>245</v>
      </c>
      <c r="D73" s="2" t="s">
        <v>33</v>
      </c>
      <c r="E73" t="str">
        <f>IF(OR(A73="", B73=""), "Check missing data", IF(COUNTIFS($A$2:A73, A73, $B$2:B73, B73)&gt;1, "Possible Duplicate", "First Occurrence"))</f>
        <v>First Occurrence</v>
      </c>
      <c r="F73" t="str">
        <f t="shared" si="2"/>
        <v>Absent</v>
      </c>
      <c r="H73" t="str">
        <f t="shared" si="3"/>
        <v>Sales</v>
      </c>
    </row>
    <row r="74" spans="1:8" x14ac:dyDescent="0.35">
      <c r="A74" s="2" t="s">
        <v>35</v>
      </c>
      <c r="B74" s="3">
        <v>46276</v>
      </c>
      <c r="C74" s="2" t="s">
        <v>245</v>
      </c>
      <c r="D74" s="2" t="s">
        <v>37</v>
      </c>
      <c r="E74" t="str">
        <f>IF(OR(A74="", B74=""), "Check missing data", IF(COUNTIFS($A$2:A74, A74, $B$2:B74, B74)&gt;1, "Possible Duplicate", "First Occurrence"))</f>
        <v>First Occurrence</v>
      </c>
      <c r="F74" t="str">
        <f t="shared" si="2"/>
        <v>Absent</v>
      </c>
      <c r="H74" t="str">
        <f t="shared" si="3"/>
        <v>Customer Support</v>
      </c>
    </row>
    <row r="75" spans="1:8" x14ac:dyDescent="0.35">
      <c r="A75" s="2" t="s">
        <v>35</v>
      </c>
      <c r="B75" s="3">
        <v>46232</v>
      </c>
      <c r="C75" s="2" t="s">
        <v>246</v>
      </c>
      <c r="D75" s="2" t="s">
        <v>37</v>
      </c>
      <c r="E75" t="str">
        <f>IF(OR(A75="", B75=""), "Check missing data", IF(COUNTIFS($A$2:A75, A75, $B$2:B75, B75)&gt;1, "Possible Duplicate", "First Occurrence"))</f>
        <v>First Occurrence</v>
      </c>
      <c r="F75" t="str">
        <f t="shared" si="2"/>
        <v>Present</v>
      </c>
      <c r="H75" t="str">
        <f t="shared" si="3"/>
        <v>Customer Support</v>
      </c>
    </row>
    <row r="76" spans="1:8" x14ac:dyDescent="0.35">
      <c r="A76" s="2" t="s">
        <v>35</v>
      </c>
      <c r="B76" s="3">
        <v>46225</v>
      </c>
      <c r="C76" s="2" t="s">
        <v>30</v>
      </c>
      <c r="D76" s="2" t="s">
        <v>37</v>
      </c>
      <c r="E76" t="str">
        <f>IF(OR(A76="", B76=""), "Check missing data", IF(COUNTIFS($A$2:A76, A76, $B$2:B76, B76)&gt;1, "Possible Duplicate", "First Occurrence"))</f>
        <v>First Occurrence</v>
      </c>
      <c r="F76" t="str">
        <f t="shared" si="2"/>
        <v>On Leave</v>
      </c>
      <c r="H76" t="str">
        <f t="shared" si="3"/>
        <v>Customer Support</v>
      </c>
    </row>
    <row r="77" spans="1:8" x14ac:dyDescent="0.35">
      <c r="A77" s="2" t="s">
        <v>35</v>
      </c>
      <c r="B77" s="3">
        <v>46238</v>
      </c>
      <c r="C77" s="2" t="s">
        <v>247</v>
      </c>
      <c r="D77" s="2" t="s">
        <v>37</v>
      </c>
      <c r="E77" t="str">
        <f>IF(OR(A77="", B77=""), "Check missing data", IF(COUNTIFS($A$2:A77, A77, $B$2:B77, B77)&gt;1, "Possible Duplicate", "First Occurrence"))</f>
        <v>First Occurrence</v>
      </c>
      <c r="F77" t="str">
        <f t="shared" si="2"/>
        <v>Late</v>
      </c>
      <c r="H77" t="str">
        <f t="shared" si="3"/>
        <v>Customer Support</v>
      </c>
    </row>
    <row r="78" spans="1:8" x14ac:dyDescent="0.35">
      <c r="A78" s="2" t="s">
        <v>35</v>
      </c>
      <c r="B78" s="3">
        <v>46244</v>
      </c>
      <c r="C78" s="2" t="s">
        <v>246</v>
      </c>
      <c r="D78" s="2" t="s">
        <v>37</v>
      </c>
      <c r="E78" t="str">
        <f>IF(OR(A78="", B78=""), "Check missing data", IF(COUNTIFS($A$2:A78, A78, $B$2:B78, B78)&gt;1, "Possible Duplicate", "First Occurrence"))</f>
        <v>First Occurrence</v>
      </c>
      <c r="F78" t="str">
        <f t="shared" si="2"/>
        <v>Present</v>
      </c>
      <c r="H78" t="str">
        <f t="shared" si="3"/>
        <v>Customer Support</v>
      </c>
    </row>
    <row r="79" spans="1:8" x14ac:dyDescent="0.35">
      <c r="A79" s="2" t="s">
        <v>35</v>
      </c>
      <c r="B79" s="3">
        <v>46289</v>
      </c>
      <c r="C79" s="2" t="s">
        <v>246</v>
      </c>
      <c r="D79" s="2" t="s">
        <v>37</v>
      </c>
      <c r="E79" t="str">
        <f>IF(OR(A79="", B79=""), "Check missing data", IF(COUNTIFS($A$2:A79, A79, $B$2:B79, B79)&gt;1, "Possible Duplicate", "First Occurrence"))</f>
        <v>First Occurrence</v>
      </c>
      <c r="F79" t="str">
        <f t="shared" si="2"/>
        <v>Present</v>
      </c>
      <c r="H79" t="str">
        <f t="shared" si="3"/>
        <v>Customer Support</v>
      </c>
    </row>
    <row r="80" spans="1:8" x14ac:dyDescent="0.35">
      <c r="A80" s="2" t="s">
        <v>35</v>
      </c>
      <c r="B80" s="3">
        <v>46212</v>
      </c>
      <c r="C80" s="2" t="s">
        <v>246</v>
      </c>
      <c r="D80" s="2" t="s">
        <v>37</v>
      </c>
      <c r="E80" t="str">
        <f>IF(OR(A80="", B80=""), "Check missing data", IF(COUNTIFS($A$2:A80, A80, $B$2:B80, B80)&gt;1, "Possible Duplicate", "First Occurrence"))</f>
        <v>First Occurrence</v>
      </c>
      <c r="F80" t="str">
        <f t="shared" si="2"/>
        <v>Present</v>
      </c>
      <c r="H80" t="str">
        <f t="shared" si="3"/>
        <v>Customer Support</v>
      </c>
    </row>
    <row r="81" spans="1:8" x14ac:dyDescent="0.35">
      <c r="A81" s="2" t="s">
        <v>35</v>
      </c>
      <c r="B81" s="3">
        <v>46252</v>
      </c>
      <c r="C81" s="2" t="s">
        <v>245</v>
      </c>
      <c r="D81" s="2" t="s">
        <v>37</v>
      </c>
      <c r="E81" t="str">
        <f>IF(OR(A81="", B81=""), "Check missing data", IF(COUNTIFS($A$2:A81, A81, $B$2:B81, B81)&gt;1, "Possible Duplicate", "First Occurrence"))</f>
        <v>First Occurrence</v>
      </c>
      <c r="F81" t="str">
        <f t="shared" si="2"/>
        <v>Absent</v>
      </c>
      <c r="H81" t="str">
        <f t="shared" si="3"/>
        <v>Customer Support</v>
      </c>
    </row>
    <row r="82" spans="1:8" x14ac:dyDescent="0.35">
      <c r="A82" s="2" t="s">
        <v>35</v>
      </c>
      <c r="B82" s="3">
        <v>46226</v>
      </c>
      <c r="C82" s="2" t="s">
        <v>246</v>
      </c>
      <c r="D82" s="2" t="s">
        <v>37</v>
      </c>
      <c r="E82" t="str">
        <f>IF(OR(A82="", B82=""), "Check missing data", IF(COUNTIFS($A$2:A82, A82, $B$2:B82, B82)&gt;1, "Possible Duplicate", "First Occurrence"))</f>
        <v>First Occurrence</v>
      </c>
      <c r="F82" t="str">
        <f t="shared" si="2"/>
        <v>Present</v>
      </c>
      <c r="H82" t="str">
        <f t="shared" si="3"/>
        <v>Customer Support</v>
      </c>
    </row>
    <row r="83" spans="1:8" x14ac:dyDescent="0.35">
      <c r="A83" s="2" t="s">
        <v>35</v>
      </c>
      <c r="B83" s="3">
        <v>46282</v>
      </c>
      <c r="C83" s="2" t="s">
        <v>246</v>
      </c>
      <c r="D83" s="2" t="s">
        <v>37</v>
      </c>
      <c r="E83" t="str">
        <f>IF(OR(A83="", B83=""), "Check missing data", IF(COUNTIFS($A$2:A83, A83, $B$2:B83, B83)&gt;1, "Possible Duplicate", "First Occurrence"))</f>
        <v>First Occurrence</v>
      </c>
      <c r="F83" t="str">
        <f t="shared" si="2"/>
        <v>Present</v>
      </c>
      <c r="H83" t="str">
        <f t="shared" si="3"/>
        <v>Customer Support</v>
      </c>
    </row>
    <row r="84" spans="1:8" x14ac:dyDescent="0.35">
      <c r="A84" s="2" t="s">
        <v>35</v>
      </c>
      <c r="B84" s="3">
        <v>46251</v>
      </c>
      <c r="C84" s="2" t="s">
        <v>246</v>
      </c>
      <c r="D84" s="2" t="s">
        <v>37</v>
      </c>
      <c r="E84" t="str">
        <f>IF(OR(A84="", B84=""), "Check missing data", IF(COUNTIFS($A$2:A84, A84, $B$2:B84, B84)&gt;1, "Possible Duplicate", "First Occurrence"))</f>
        <v>First Occurrence</v>
      </c>
      <c r="F84" t="str">
        <f t="shared" si="2"/>
        <v>Present</v>
      </c>
      <c r="H84" t="str">
        <f t="shared" si="3"/>
        <v>Customer Support</v>
      </c>
    </row>
    <row r="85" spans="1:8" x14ac:dyDescent="0.35">
      <c r="A85" s="2" t="s">
        <v>35</v>
      </c>
      <c r="B85" s="3">
        <v>46216</v>
      </c>
      <c r="C85" s="2" t="s">
        <v>30</v>
      </c>
      <c r="D85" s="2" t="s">
        <v>37</v>
      </c>
      <c r="E85" t="str">
        <f>IF(OR(A85="", B85=""), "Check missing data", IF(COUNTIFS($A$2:A85, A85, $B$2:B85, B85)&gt;1, "Possible Duplicate", "First Occurrence"))</f>
        <v>First Occurrence</v>
      </c>
      <c r="F85" t="str">
        <f t="shared" si="2"/>
        <v>On Leave</v>
      </c>
      <c r="H85" t="str">
        <f t="shared" si="3"/>
        <v>Customer Support</v>
      </c>
    </row>
    <row r="86" spans="1:8" x14ac:dyDescent="0.35">
      <c r="A86" s="2" t="s">
        <v>39</v>
      </c>
      <c r="B86" s="3">
        <v>46241</v>
      </c>
      <c r="C86" s="2" t="s">
        <v>246</v>
      </c>
      <c r="D86" s="2" t="s">
        <v>41</v>
      </c>
      <c r="E86" t="str">
        <f>IF(OR(A86="", B86=""), "Check missing data", IF(COUNTIFS($A$2:A86, A86, $B$2:B86, B86)&gt;1, "Possible Duplicate", "First Occurrence"))</f>
        <v>First Occurrence</v>
      </c>
      <c r="F86" t="str">
        <f t="shared" si="2"/>
        <v>Present</v>
      </c>
      <c r="H86" t="str">
        <f t="shared" si="3"/>
        <v>Human Resources</v>
      </c>
    </row>
    <row r="87" spans="1:8" x14ac:dyDescent="0.35">
      <c r="A87" s="2" t="s">
        <v>39</v>
      </c>
      <c r="B87" s="3">
        <v>46225</v>
      </c>
      <c r="C87" s="2" t="s">
        <v>30</v>
      </c>
      <c r="D87" s="2" t="s">
        <v>41</v>
      </c>
      <c r="E87" t="str">
        <f>IF(OR(A87="", B87=""), "Check missing data", IF(COUNTIFS($A$2:A87, A87, $B$2:B87, B87)&gt;1, "Possible Duplicate", "First Occurrence"))</f>
        <v>First Occurrence</v>
      </c>
      <c r="F87" t="str">
        <f t="shared" si="2"/>
        <v>On Leave</v>
      </c>
      <c r="H87" t="str">
        <f t="shared" si="3"/>
        <v>Human Resources</v>
      </c>
    </row>
    <row r="88" spans="1:8" x14ac:dyDescent="0.35">
      <c r="A88" s="2" t="s">
        <v>39</v>
      </c>
      <c r="B88" s="3">
        <v>46216</v>
      </c>
      <c r="C88" s="2" t="s">
        <v>245</v>
      </c>
      <c r="D88" s="2" t="s">
        <v>41</v>
      </c>
      <c r="E88" t="str">
        <f>IF(OR(A88="", B88=""), "Check missing data", IF(COUNTIFS($A$2:A88, A88, $B$2:B88, B88)&gt;1, "Possible Duplicate", "First Occurrence"))</f>
        <v>First Occurrence</v>
      </c>
      <c r="F88" t="str">
        <f t="shared" si="2"/>
        <v>Absent</v>
      </c>
      <c r="H88" t="str">
        <f t="shared" si="3"/>
        <v>Human Resources</v>
      </c>
    </row>
    <row r="89" spans="1:8" x14ac:dyDescent="0.35">
      <c r="A89" s="2" t="s">
        <v>39</v>
      </c>
      <c r="B89" s="3">
        <v>46283</v>
      </c>
      <c r="C89" s="2" t="s">
        <v>30</v>
      </c>
      <c r="D89" s="2" t="s">
        <v>41</v>
      </c>
      <c r="E89" t="str">
        <f>IF(OR(A89="", B89=""), "Check missing data", IF(COUNTIFS($A$2:A89, A89, $B$2:B89, B89)&gt;1, "Possible Duplicate", "First Occurrence"))</f>
        <v>First Occurrence</v>
      </c>
      <c r="F89" t="str">
        <f t="shared" si="2"/>
        <v>On Leave</v>
      </c>
      <c r="H89" t="str">
        <f t="shared" si="3"/>
        <v>Human Resources</v>
      </c>
    </row>
    <row r="90" spans="1:8" x14ac:dyDescent="0.35">
      <c r="A90" s="2" t="s">
        <v>39</v>
      </c>
      <c r="B90" s="3">
        <v>46240</v>
      </c>
      <c r="C90" s="2" t="s">
        <v>246</v>
      </c>
      <c r="D90" s="2" t="s">
        <v>41</v>
      </c>
      <c r="E90" t="str">
        <f>IF(OR(A90="", B90=""), "Check missing data", IF(COUNTIFS($A$2:A90, A90, $B$2:B90, B90)&gt;1, "Possible Duplicate", "First Occurrence"))</f>
        <v>First Occurrence</v>
      </c>
      <c r="F90" t="str">
        <f t="shared" si="2"/>
        <v>Present</v>
      </c>
      <c r="H90" t="str">
        <f t="shared" si="3"/>
        <v>Human Resources</v>
      </c>
    </row>
    <row r="91" spans="1:8" x14ac:dyDescent="0.35">
      <c r="A91" s="2" t="s">
        <v>39</v>
      </c>
      <c r="B91" s="3">
        <v>46219</v>
      </c>
      <c r="C91" s="2" t="s">
        <v>246</v>
      </c>
      <c r="D91" s="2" t="s">
        <v>41</v>
      </c>
      <c r="E91" t="str">
        <f>IF(OR(A91="", B91=""), "Check missing data", IF(COUNTIFS($A$2:A91, A91, $B$2:B91, B91)&gt;1, "Possible Duplicate", "First Occurrence"))</f>
        <v>First Occurrence</v>
      </c>
      <c r="F91" t="str">
        <f t="shared" si="2"/>
        <v>Present</v>
      </c>
      <c r="H91" t="str">
        <f t="shared" si="3"/>
        <v>Human Resources</v>
      </c>
    </row>
    <row r="92" spans="1:8" x14ac:dyDescent="0.35">
      <c r="A92" s="2" t="s">
        <v>39</v>
      </c>
      <c r="B92" s="3">
        <v>46274</v>
      </c>
      <c r="C92" s="2" t="s">
        <v>247</v>
      </c>
      <c r="D92" s="2" t="s">
        <v>41</v>
      </c>
      <c r="E92" t="str">
        <f>IF(OR(A92="", B92=""), "Check missing data", IF(COUNTIFS($A$2:A92, A92, $B$2:B92, B92)&gt;1, "Possible Duplicate", "First Occurrence"))</f>
        <v>First Occurrence</v>
      </c>
      <c r="F92" t="str">
        <f t="shared" si="2"/>
        <v>Late</v>
      </c>
      <c r="H92" t="str">
        <f t="shared" si="3"/>
        <v>Human Resources</v>
      </c>
    </row>
    <row r="93" spans="1:8" x14ac:dyDescent="0.35">
      <c r="A93" s="2" t="s">
        <v>39</v>
      </c>
      <c r="B93" s="3">
        <v>46279</v>
      </c>
      <c r="C93" s="2" t="s">
        <v>246</v>
      </c>
      <c r="D93" s="2" t="s">
        <v>41</v>
      </c>
      <c r="E93" t="str">
        <f>IF(OR(A93="", B93=""), "Check missing data", IF(COUNTIFS($A$2:A93, A93, $B$2:B93, B93)&gt;1, "Possible Duplicate", "First Occurrence"))</f>
        <v>First Occurrence</v>
      </c>
      <c r="F93" t="str">
        <f t="shared" si="2"/>
        <v>Present</v>
      </c>
      <c r="H93" t="str">
        <f t="shared" si="3"/>
        <v>Human Resources</v>
      </c>
    </row>
    <row r="94" spans="1:8" x14ac:dyDescent="0.35">
      <c r="A94" s="2" t="s">
        <v>39</v>
      </c>
      <c r="B94" s="3">
        <v>46289</v>
      </c>
      <c r="C94" s="2" t="s">
        <v>246</v>
      </c>
      <c r="D94" s="2" t="s">
        <v>41</v>
      </c>
      <c r="E94" t="str">
        <f>IF(OR(A94="", B94=""), "Check missing data", IF(COUNTIFS($A$2:A94, A94, $B$2:B94, B94)&gt;1, "Possible Duplicate", "First Occurrence"))</f>
        <v>First Occurrence</v>
      </c>
      <c r="F94" t="str">
        <f t="shared" si="2"/>
        <v>Present</v>
      </c>
      <c r="H94" t="str">
        <f t="shared" si="3"/>
        <v>Human Resources</v>
      </c>
    </row>
    <row r="95" spans="1:8" x14ac:dyDescent="0.35">
      <c r="A95" s="2" t="s">
        <v>39</v>
      </c>
      <c r="B95" s="3">
        <v>46268</v>
      </c>
      <c r="C95" s="2" t="s">
        <v>246</v>
      </c>
      <c r="D95" s="2" t="s">
        <v>41</v>
      </c>
      <c r="E95" t="str">
        <f>IF(OR(A95="", B95=""), "Check missing data", IF(COUNTIFS($A$2:A95, A95, $B$2:B95, B95)&gt;1, "Possible Duplicate", "First Occurrence"))</f>
        <v>First Occurrence</v>
      </c>
      <c r="F95" t="str">
        <f t="shared" si="2"/>
        <v>Present</v>
      </c>
      <c r="H95" t="str">
        <f t="shared" si="3"/>
        <v>Human Resources</v>
      </c>
    </row>
    <row r="96" spans="1:8" x14ac:dyDescent="0.35">
      <c r="A96" s="2" t="s">
        <v>39</v>
      </c>
      <c r="B96" s="3">
        <v>46220</v>
      </c>
      <c r="C96" s="2" t="s">
        <v>30</v>
      </c>
      <c r="D96" s="2" t="s">
        <v>41</v>
      </c>
      <c r="E96" t="str">
        <f>IF(OR(A96="", B96=""), "Check missing data", IF(COUNTIFS($A$2:A96, A96, $B$2:B96, B96)&gt;1, "Possible Duplicate", "First Occurrence"))</f>
        <v>First Occurrence</v>
      </c>
      <c r="F96" t="str">
        <f t="shared" si="2"/>
        <v>On Leave</v>
      </c>
      <c r="H96" t="str">
        <f t="shared" si="3"/>
        <v>Human Resources</v>
      </c>
    </row>
    <row r="97" spans="1:8" x14ac:dyDescent="0.35">
      <c r="A97" s="2" t="s">
        <v>39</v>
      </c>
      <c r="B97" s="3">
        <v>46246</v>
      </c>
      <c r="C97" s="2" t="s">
        <v>30</v>
      </c>
      <c r="D97" s="2" t="s">
        <v>41</v>
      </c>
      <c r="E97" t="str">
        <f>IF(OR(A97="", B97=""), "Check missing data", IF(COUNTIFS($A$2:A97, A97, $B$2:B97, B97)&gt;1, "Possible Duplicate", "First Occurrence"))</f>
        <v>First Occurrence</v>
      </c>
      <c r="F97" t="str">
        <f t="shared" si="2"/>
        <v>On Leave</v>
      </c>
      <c r="H97" t="str">
        <f t="shared" si="3"/>
        <v>Human Resources</v>
      </c>
    </row>
    <row r="98" spans="1:8" x14ac:dyDescent="0.35">
      <c r="A98" s="2" t="s">
        <v>43</v>
      </c>
      <c r="B98" s="3">
        <v>46230</v>
      </c>
      <c r="C98" s="2" t="s">
        <v>246</v>
      </c>
      <c r="D98" s="2" t="s">
        <v>431</v>
      </c>
      <c r="E98" t="str">
        <f>IF(OR(A98="", B98=""), "Check missing data", IF(COUNTIFS($A$2:A98, A98, $B$2:B98, B98)&gt;1, "Possible Duplicate", "First Occurrence"))</f>
        <v>First Occurrence</v>
      </c>
      <c r="F98" t="str">
        <f t="shared" si="2"/>
        <v>Present</v>
      </c>
      <c r="H98" t="str">
        <f t="shared" si="3"/>
        <v>Unassigned</v>
      </c>
    </row>
    <row r="99" spans="1:8" x14ac:dyDescent="0.35">
      <c r="A99" s="2" t="s">
        <v>43</v>
      </c>
      <c r="B99" s="3">
        <v>46212</v>
      </c>
      <c r="C99" s="2" t="s">
        <v>30</v>
      </c>
      <c r="D99" s="2" t="s">
        <v>431</v>
      </c>
      <c r="E99" t="str">
        <f>IF(OR(A99="", B99=""), "Check missing data", IF(COUNTIFS($A$2:A99, A99, $B$2:B99, B99)&gt;1, "Possible Duplicate", "First Occurrence"))</f>
        <v>First Occurrence</v>
      </c>
      <c r="F99" t="str">
        <f t="shared" si="2"/>
        <v>On Leave</v>
      </c>
      <c r="H99" t="str">
        <f t="shared" si="3"/>
        <v>Unassigned</v>
      </c>
    </row>
    <row r="100" spans="1:8" x14ac:dyDescent="0.35">
      <c r="A100" s="2" t="s">
        <v>43</v>
      </c>
      <c r="B100" s="3">
        <v>46259</v>
      </c>
      <c r="C100" s="2" t="s">
        <v>247</v>
      </c>
      <c r="D100" s="2" t="s">
        <v>431</v>
      </c>
      <c r="E100" t="str">
        <f>IF(OR(A100="", B100=""), "Check missing data", IF(COUNTIFS($A$2:A100, A100, $B$2:B100, B100)&gt;1, "Possible Duplicate", "First Occurrence"))</f>
        <v>First Occurrence</v>
      </c>
      <c r="F100" t="str">
        <f t="shared" si="2"/>
        <v>Late</v>
      </c>
      <c r="H100" t="str">
        <f t="shared" si="3"/>
        <v>Unassigned</v>
      </c>
    </row>
    <row r="101" spans="1:8" x14ac:dyDescent="0.35">
      <c r="A101" s="2" t="s">
        <v>43</v>
      </c>
      <c r="B101" s="3">
        <v>46272</v>
      </c>
      <c r="C101" s="2" t="s">
        <v>247</v>
      </c>
      <c r="D101" s="2" t="s">
        <v>431</v>
      </c>
      <c r="E101" t="str">
        <f>IF(OR(A101="", B101=""), "Check missing data", IF(COUNTIFS($A$2:A101, A101, $B$2:B101, B101)&gt;1, "Possible Duplicate", "First Occurrence"))</f>
        <v>First Occurrence</v>
      </c>
      <c r="F101" t="str">
        <f t="shared" si="2"/>
        <v>Late</v>
      </c>
      <c r="H101" t="str">
        <f t="shared" si="3"/>
        <v>Unassigned</v>
      </c>
    </row>
    <row r="102" spans="1:8" x14ac:dyDescent="0.35">
      <c r="A102" s="2" t="s">
        <v>43</v>
      </c>
      <c r="B102" s="3">
        <v>46276</v>
      </c>
      <c r="C102" s="2" t="s">
        <v>246</v>
      </c>
      <c r="D102" s="2" t="s">
        <v>431</v>
      </c>
      <c r="E102" t="str">
        <f>IF(OR(A102="", B102=""), "Check missing data", IF(COUNTIFS($A$2:A102, A102, $B$2:B102, B102)&gt;1, "Possible Duplicate", "First Occurrence"))</f>
        <v>First Occurrence</v>
      </c>
      <c r="F102" t="str">
        <f t="shared" si="2"/>
        <v>Present</v>
      </c>
      <c r="H102" t="str">
        <f t="shared" si="3"/>
        <v>Unassigned</v>
      </c>
    </row>
    <row r="103" spans="1:8" x14ac:dyDescent="0.35">
      <c r="A103" s="2" t="s">
        <v>43</v>
      </c>
      <c r="B103" s="3">
        <v>46288</v>
      </c>
      <c r="C103" s="2" t="s">
        <v>30</v>
      </c>
      <c r="D103" s="2" t="s">
        <v>431</v>
      </c>
      <c r="E103" t="str">
        <f>IF(OR(A103="", B103=""), "Check missing data", IF(COUNTIFS($A$2:A103, A103, $B$2:B103, B103)&gt;1, "Possible Duplicate", "First Occurrence"))</f>
        <v>First Occurrence</v>
      </c>
      <c r="F103" t="str">
        <f t="shared" si="2"/>
        <v>On Leave</v>
      </c>
      <c r="H103" t="str">
        <f t="shared" si="3"/>
        <v>Unassigned</v>
      </c>
    </row>
    <row r="104" spans="1:8" x14ac:dyDescent="0.35">
      <c r="A104" s="2" t="s">
        <v>43</v>
      </c>
      <c r="B104" s="3">
        <v>46226</v>
      </c>
      <c r="C104" s="2" t="s">
        <v>245</v>
      </c>
      <c r="D104" s="2" t="s">
        <v>431</v>
      </c>
      <c r="E104" t="str">
        <f>IF(OR(A104="", B104=""), "Check missing data", IF(COUNTIFS($A$2:A104, A104, $B$2:B104, B104)&gt;1, "Possible Duplicate", "First Occurrence"))</f>
        <v>First Occurrence</v>
      </c>
      <c r="F104" t="str">
        <f t="shared" si="2"/>
        <v>Absent</v>
      </c>
      <c r="H104" t="str">
        <f t="shared" si="3"/>
        <v>Unassigned</v>
      </c>
    </row>
    <row r="105" spans="1:8" x14ac:dyDescent="0.35">
      <c r="A105" s="2" t="s">
        <v>43</v>
      </c>
      <c r="B105" s="3">
        <v>46206</v>
      </c>
      <c r="C105" s="2" t="s">
        <v>30</v>
      </c>
      <c r="D105" s="2" t="s">
        <v>431</v>
      </c>
      <c r="E105" t="str">
        <f>IF(OR(A105="", B105=""), "Check missing data", IF(COUNTIFS($A$2:A105, A105, $B$2:B105, B105)&gt;1, "Possible Duplicate", "First Occurrence"))</f>
        <v>First Occurrence</v>
      </c>
      <c r="F105" t="str">
        <f t="shared" si="2"/>
        <v>On Leave</v>
      </c>
      <c r="H105" t="str">
        <f t="shared" si="3"/>
        <v>Unassigned</v>
      </c>
    </row>
    <row r="106" spans="1:8" x14ac:dyDescent="0.35">
      <c r="A106" s="2" t="s">
        <v>43</v>
      </c>
      <c r="B106" s="3">
        <v>46254</v>
      </c>
      <c r="C106" s="2" t="s">
        <v>246</v>
      </c>
      <c r="D106" s="2" t="s">
        <v>431</v>
      </c>
      <c r="E106" t="str">
        <f>IF(OR(A106="", B106=""), "Check missing data", IF(COUNTIFS($A$2:A106, A106, $B$2:B106, B106)&gt;1, "Possible Duplicate", "First Occurrence"))</f>
        <v>First Occurrence</v>
      </c>
      <c r="F106" t="str">
        <f t="shared" si="2"/>
        <v>Present</v>
      </c>
      <c r="H106" t="str">
        <f t="shared" si="3"/>
        <v>Unassigned</v>
      </c>
    </row>
    <row r="107" spans="1:8" x14ac:dyDescent="0.35">
      <c r="A107" s="2" t="s">
        <v>43</v>
      </c>
      <c r="B107" s="3">
        <v>46216</v>
      </c>
      <c r="C107" s="2" t="s">
        <v>246</v>
      </c>
      <c r="D107" s="2" t="s">
        <v>431</v>
      </c>
      <c r="E107" t="str">
        <f>IF(OR(A107="", B107=""), "Check missing data", IF(COUNTIFS($A$2:A107, A107, $B$2:B107, B107)&gt;1, "Possible Duplicate", "First Occurrence"))</f>
        <v>First Occurrence</v>
      </c>
      <c r="F107" t="str">
        <f t="shared" si="2"/>
        <v>Present</v>
      </c>
      <c r="H107" t="str">
        <f t="shared" si="3"/>
        <v>Unassigned</v>
      </c>
    </row>
    <row r="108" spans="1:8" x14ac:dyDescent="0.35">
      <c r="A108" s="2" t="s">
        <v>43</v>
      </c>
      <c r="B108" s="3">
        <v>46223</v>
      </c>
      <c r="C108" s="2" t="s">
        <v>30</v>
      </c>
      <c r="D108" s="2" t="s">
        <v>431</v>
      </c>
      <c r="E108" t="str">
        <f>IF(OR(A108="", B108=""), "Check missing data", IF(COUNTIFS($A$2:A108, A108, $B$2:B108, B108)&gt;1, "Possible Duplicate", "First Occurrence"))</f>
        <v>First Occurrence</v>
      </c>
      <c r="F108" t="str">
        <f t="shared" si="2"/>
        <v>On Leave</v>
      </c>
      <c r="H108" t="str">
        <f t="shared" si="3"/>
        <v>Unassigned</v>
      </c>
    </row>
    <row r="109" spans="1:8" x14ac:dyDescent="0.35">
      <c r="A109" s="2" t="s">
        <v>43</v>
      </c>
      <c r="B109" s="3">
        <v>46233</v>
      </c>
      <c r="C109" s="2" t="s">
        <v>246</v>
      </c>
      <c r="D109" s="2" t="s">
        <v>431</v>
      </c>
      <c r="E109" t="str">
        <f>IF(OR(A109="", B109=""), "Check missing data", IF(COUNTIFS($A$2:A109, A109, $B$2:B109, B109)&gt;1, "Possible Duplicate", "First Occurrence"))</f>
        <v>First Occurrence</v>
      </c>
      <c r="F109" t="str">
        <f t="shared" si="2"/>
        <v>Present</v>
      </c>
      <c r="H109" t="str">
        <f t="shared" si="3"/>
        <v>Unassigned</v>
      </c>
    </row>
    <row r="110" spans="1:8" x14ac:dyDescent="0.35">
      <c r="A110" s="2" t="s">
        <v>46</v>
      </c>
      <c r="B110" s="3">
        <v>46254</v>
      </c>
      <c r="C110" s="2" t="s">
        <v>30</v>
      </c>
      <c r="D110" s="2" t="s">
        <v>37</v>
      </c>
      <c r="E110" t="str">
        <f>IF(OR(A110="", B110=""), "Check missing data", IF(COUNTIFS($A$2:A110, A110, $B$2:B110, B110)&gt;1, "Possible Duplicate", "First Occurrence"))</f>
        <v>First Occurrence</v>
      </c>
      <c r="F110" t="str">
        <f t="shared" si="2"/>
        <v>On Leave</v>
      </c>
      <c r="H110" t="str">
        <f t="shared" si="3"/>
        <v>Customer Support</v>
      </c>
    </row>
    <row r="111" spans="1:8" x14ac:dyDescent="0.35">
      <c r="A111" s="2" t="s">
        <v>46</v>
      </c>
      <c r="B111" s="3">
        <v>46209</v>
      </c>
      <c r="C111" s="2" t="s">
        <v>245</v>
      </c>
      <c r="D111" s="2" t="s">
        <v>37</v>
      </c>
      <c r="E111" t="str">
        <f>IF(OR(A111="", B111=""), "Check missing data", IF(COUNTIFS($A$2:A111, A111, $B$2:B111, B111)&gt;1, "Possible Duplicate", "First Occurrence"))</f>
        <v>First Occurrence</v>
      </c>
      <c r="F111" t="str">
        <f t="shared" si="2"/>
        <v>Absent</v>
      </c>
      <c r="H111" t="str">
        <f t="shared" si="3"/>
        <v>Customer Support</v>
      </c>
    </row>
    <row r="112" spans="1:8" x14ac:dyDescent="0.35">
      <c r="A112" s="2" t="s">
        <v>46</v>
      </c>
      <c r="B112" s="3">
        <v>46294</v>
      </c>
      <c r="C112" s="2" t="s">
        <v>246</v>
      </c>
      <c r="D112" s="2" t="s">
        <v>37</v>
      </c>
      <c r="E112" t="str">
        <f>IF(OR(A112="", B112=""), "Check missing data", IF(COUNTIFS($A$2:A112, A112, $B$2:B112, B112)&gt;1, "Possible Duplicate", "First Occurrence"))</f>
        <v>First Occurrence</v>
      </c>
      <c r="F112" t="str">
        <f t="shared" si="2"/>
        <v>Present</v>
      </c>
      <c r="H112" t="str">
        <f t="shared" si="3"/>
        <v>Customer Support</v>
      </c>
    </row>
    <row r="113" spans="1:8" x14ac:dyDescent="0.35">
      <c r="A113" s="2" t="s">
        <v>46</v>
      </c>
      <c r="B113" s="3">
        <v>46210</v>
      </c>
      <c r="C113" s="2" t="s">
        <v>246</v>
      </c>
      <c r="D113" s="2" t="s">
        <v>37</v>
      </c>
      <c r="E113" t="str">
        <f>IF(OR(A113="", B113=""), "Check missing data", IF(COUNTIFS($A$2:A113, A113, $B$2:B113, B113)&gt;1, "Possible Duplicate", "First Occurrence"))</f>
        <v>First Occurrence</v>
      </c>
      <c r="F113" t="str">
        <f t="shared" si="2"/>
        <v>Present</v>
      </c>
      <c r="H113" t="str">
        <f t="shared" si="3"/>
        <v>Customer Support</v>
      </c>
    </row>
    <row r="114" spans="1:8" x14ac:dyDescent="0.35">
      <c r="A114" s="2" t="s">
        <v>46</v>
      </c>
      <c r="B114" s="3">
        <v>46253</v>
      </c>
      <c r="C114" s="2" t="s">
        <v>30</v>
      </c>
      <c r="D114" s="2" t="s">
        <v>37</v>
      </c>
      <c r="E114" t="str">
        <f>IF(OR(A114="", B114=""), "Check missing data", IF(COUNTIFS($A$2:A114, A114, $B$2:B114, B114)&gt;1, "Possible Duplicate", "First Occurrence"))</f>
        <v>First Occurrence</v>
      </c>
      <c r="F114" t="str">
        <f t="shared" si="2"/>
        <v>On Leave</v>
      </c>
      <c r="H114" t="str">
        <f t="shared" si="3"/>
        <v>Customer Support</v>
      </c>
    </row>
    <row r="115" spans="1:8" x14ac:dyDescent="0.35">
      <c r="A115" s="2" t="s">
        <v>46</v>
      </c>
      <c r="B115" s="3">
        <v>46286</v>
      </c>
      <c r="C115" s="2" t="s">
        <v>30</v>
      </c>
      <c r="D115" s="2" t="s">
        <v>37</v>
      </c>
      <c r="E115" t="str">
        <f>IF(OR(A115="", B115=""), "Check missing data", IF(COUNTIFS($A$2:A115, A115, $B$2:B115, B115)&gt;1, "Possible Duplicate", "First Occurrence"))</f>
        <v>First Occurrence</v>
      </c>
      <c r="F115" t="str">
        <f t="shared" si="2"/>
        <v>On Leave</v>
      </c>
      <c r="H115" t="str">
        <f t="shared" si="3"/>
        <v>Customer Support</v>
      </c>
    </row>
    <row r="116" spans="1:8" x14ac:dyDescent="0.35">
      <c r="A116" s="2" t="s">
        <v>46</v>
      </c>
      <c r="B116" s="3">
        <v>46290</v>
      </c>
      <c r="C116" s="2" t="s">
        <v>246</v>
      </c>
      <c r="D116" s="2" t="s">
        <v>37</v>
      </c>
      <c r="E116" t="str">
        <f>IF(OR(A116="", B116=""), "Check missing data", IF(COUNTIFS($A$2:A116, A116, $B$2:B116, B116)&gt;1, "Possible Duplicate", "First Occurrence"))</f>
        <v>First Occurrence</v>
      </c>
      <c r="F116" t="str">
        <f t="shared" si="2"/>
        <v>Present</v>
      </c>
      <c r="H116" t="str">
        <f t="shared" si="3"/>
        <v>Customer Support</v>
      </c>
    </row>
    <row r="117" spans="1:8" x14ac:dyDescent="0.35">
      <c r="A117" s="2" t="s">
        <v>46</v>
      </c>
      <c r="B117" s="3">
        <v>46281</v>
      </c>
      <c r="C117" s="2" t="s">
        <v>245</v>
      </c>
      <c r="D117" s="2" t="s">
        <v>37</v>
      </c>
      <c r="E117" t="str">
        <f>IF(OR(A117="", B117=""), "Check missing data", IF(COUNTIFS($A$2:A117, A117, $B$2:B117, B117)&gt;1, "Possible Duplicate", "First Occurrence"))</f>
        <v>First Occurrence</v>
      </c>
      <c r="F117" t="str">
        <f t="shared" si="2"/>
        <v>Absent</v>
      </c>
      <c r="H117" t="str">
        <f t="shared" si="3"/>
        <v>Customer Support</v>
      </c>
    </row>
    <row r="118" spans="1:8" x14ac:dyDescent="0.35">
      <c r="A118" s="2" t="s">
        <v>46</v>
      </c>
      <c r="B118" s="3">
        <v>46219</v>
      </c>
      <c r="C118" s="2" t="s">
        <v>246</v>
      </c>
      <c r="D118" s="2" t="s">
        <v>37</v>
      </c>
      <c r="E118" t="str">
        <f>IF(OR(A118="", B118=""), "Check missing data", IF(COUNTIFS($A$2:A118, A118, $B$2:B118, B118)&gt;1, "Possible Duplicate", "First Occurrence"))</f>
        <v>First Occurrence</v>
      </c>
      <c r="F118" t="str">
        <f t="shared" si="2"/>
        <v>Present</v>
      </c>
      <c r="H118" t="str">
        <f t="shared" si="3"/>
        <v>Customer Support</v>
      </c>
    </row>
    <row r="119" spans="1:8" x14ac:dyDescent="0.35">
      <c r="A119" s="2" t="s">
        <v>46</v>
      </c>
      <c r="B119" s="3">
        <v>46245</v>
      </c>
      <c r="C119" s="2" t="s">
        <v>247</v>
      </c>
      <c r="D119" s="2" t="s">
        <v>37</v>
      </c>
      <c r="E119" t="str">
        <f>IF(OR(A119="", B119=""), "Check missing data", IF(COUNTIFS($A$2:A119, A119, $B$2:B119, B119)&gt;1, "Possible Duplicate", "First Occurrence"))</f>
        <v>First Occurrence</v>
      </c>
      <c r="F119" t="str">
        <f t="shared" si="2"/>
        <v>Late</v>
      </c>
      <c r="H119" t="str">
        <f t="shared" si="3"/>
        <v>Customer Support</v>
      </c>
    </row>
    <row r="120" spans="1:8" x14ac:dyDescent="0.35">
      <c r="A120" s="2" t="s">
        <v>46</v>
      </c>
      <c r="B120" s="3">
        <v>46225</v>
      </c>
      <c r="C120" s="2" t="s">
        <v>246</v>
      </c>
      <c r="D120" s="2" t="s">
        <v>37</v>
      </c>
      <c r="E120" t="str">
        <f>IF(OR(A120="", B120=""), "Check missing data", IF(COUNTIFS($A$2:A120, A120, $B$2:B120, B120)&gt;1, "Possible Duplicate", "First Occurrence"))</f>
        <v>First Occurrence</v>
      </c>
      <c r="F120" t="str">
        <f t="shared" si="2"/>
        <v>Present</v>
      </c>
      <c r="H120" t="str">
        <f t="shared" si="3"/>
        <v>Customer Support</v>
      </c>
    </row>
    <row r="121" spans="1:8" x14ac:dyDescent="0.35">
      <c r="A121" s="2" t="s">
        <v>46</v>
      </c>
      <c r="B121" s="3">
        <v>46262</v>
      </c>
      <c r="C121" s="2" t="s">
        <v>246</v>
      </c>
      <c r="D121" s="2" t="s">
        <v>37</v>
      </c>
      <c r="E121" t="str">
        <f>IF(OR(A121="", B121=""), "Check missing data", IF(COUNTIFS($A$2:A121, A121, $B$2:B121, B121)&gt;1, "Possible Duplicate", "First Occurrence"))</f>
        <v>First Occurrence</v>
      </c>
      <c r="F121" t="str">
        <f t="shared" si="2"/>
        <v>Present</v>
      </c>
      <c r="H121" t="str">
        <f t="shared" si="3"/>
        <v>Customer Support</v>
      </c>
    </row>
    <row r="122" spans="1:8" x14ac:dyDescent="0.35">
      <c r="A122" s="2" t="s">
        <v>49</v>
      </c>
      <c r="B122" s="3">
        <v>46220</v>
      </c>
      <c r="C122" s="2" t="s">
        <v>246</v>
      </c>
      <c r="D122" s="2" t="s">
        <v>17</v>
      </c>
      <c r="E122" t="str">
        <f>IF(OR(A122="", B122=""), "Check missing data", IF(COUNTIFS($A$2:A122, A122, $B$2:B122, B122)&gt;1, "Possible Duplicate", "First Occurrence"))</f>
        <v>First Occurrence</v>
      </c>
      <c r="F122" t="str">
        <f t="shared" si="2"/>
        <v>Present</v>
      </c>
      <c r="H122" t="str">
        <f t="shared" si="3"/>
        <v>Finance</v>
      </c>
    </row>
    <row r="123" spans="1:8" x14ac:dyDescent="0.35">
      <c r="A123" s="2" t="s">
        <v>49</v>
      </c>
      <c r="B123" s="3">
        <v>46238</v>
      </c>
      <c r="C123" s="2" t="s">
        <v>245</v>
      </c>
      <c r="D123" s="2" t="s">
        <v>17</v>
      </c>
      <c r="E123" t="str">
        <f>IF(OR(A123="", B123=""), "Check missing data", IF(COUNTIFS($A$2:A123, A123, $B$2:B123, B123)&gt;1, "Possible Duplicate", "First Occurrence"))</f>
        <v>First Occurrence</v>
      </c>
      <c r="F123" t="str">
        <f t="shared" si="2"/>
        <v>Absent</v>
      </c>
      <c r="H123" t="str">
        <f t="shared" si="3"/>
        <v>Finance</v>
      </c>
    </row>
    <row r="124" spans="1:8" x14ac:dyDescent="0.35">
      <c r="A124" s="2" t="s">
        <v>49</v>
      </c>
      <c r="B124" s="3">
        <v>46267</v>
      </c>
      <c r="C124" s="2" t="s">
        <v>246</v>
      </c>
      <c r="D124" s="2" t="s">
        <v>17</v>
      </c>
      <c r="E124" t="str">
        <f>IF(OR(A124="", B124=""), "Check missing data", IF(COUNTIFS($A$2:A124, A124, $B$2:B124, B124)&gt;1, "Possible Duplicate", "First Occurrence"))</f>
        <v>First Occurrence</v>
      </c>
      <c r="F124" t="str">
        <f t="shared" si="2"/>
        <v>Present</v>
      </c>
      <c r="H124" t="str">
        <f t="shared" si="3"/>
        <v>Finance</v>
      </c>
    </row>
    <row r="125" spans="1:8" x14ac:dyDescent="0.35">
      <c r="A125" s="2" t="s">
        <v>49</v>
      </c>
      <c r="B125" s="3">
        <v>46265</v>
      </c>
      <c r="C125" s="2" t="s">
        <v>30</v>
      </c>
      <c r="D125" s="2" t="s">
        <v>17</v>
      </c>
      <c r="E125" t="str">
        <f>IF(OR(A125="", B125=""), "Check missing data", IF(COUNTIFS($A$2:A125, A125, $B$2:B125, B125)&gt;1, "Possible Duplicate", "First Occurrence"))</f>
        <v>First Occurrence</v>
      </c>
      <c r="F125" t="str">
        <f t="shared" si="2"/>
        <v>On Leave</v>
      </c>
      <c r="H125" t="str">
        <f t="shared" si="3"/>
        <v>Finance</v>
      </c>
    </row>
    <row r="126" spans="1:8" x14ac:dyDescent="0.35">
      <c r="A126" s="2" t="s">
        <v>49</v>
      </c>
      <c r="B126" s="3">
        <v>46231</v>
      </c>
      <c r="C126" s="2" t="s">
        <v>245</v>
      </c>
      <c r="D126" s="2" t="s">
        <v>17</v>
      </c>
      <c r="E126" t="str">
        <f>IF(OR(A126="", B126=""), "Check missing data", IF(COUNTIFS($A$2:A126, A126, $B$2:B126, B126)&gt;1, "Possible Duplicate", "First Occurrence"))</f>
        <v>First Occurrence</v>
      </c>
      <c r="F126" t="str">
        <f t="shared" si="2"/>
        <v>Absent</v>
      </c>
      <c r="H126" t="str">
        <f t="shared" si="3"/>
        <v>Finance</v>
      </c>
    </row>
    <row r="127" spans="1:8" x14ac:dyDescent="0.35">
      <c r="A127" s="2" t="s">
        <v>49</v>
      </c>
      <c r="B127" s="3">
        <v>46226</v>
      </c>
      <c r="C127" s="2" t="s">
        <v>246</v>
      </c>
      <c r="D127" s="2" t="s">
        <v>17</v>
      </c>
      <c r="E127" t="str">
        <f>IF(OR(A127="", B127=""), "Check missing data", IF(COUNTIFS($A$2:A127, A127, $B$2:B127, B127)&gt;1, "Possible Duplicate", "First Occurrence"))</f>
        <v>First Occurrence</v>
      </c>
      <c r="F127" t="str">
        <f t="shared" si="2"/>
        <v>Present</v>
      </c>
      <c r="H127" t="str">
        <f t="shared" si="3"/>
        <v>Finance</v>
      </c>
    </row>
    <row r="128" spans="1:8" x14ac:dyDescent="0.35">
      <c r="A128" s="2" t="s">
        <v>49</v>
      </c>
      <c r="B128" s="3">
        <v>46211</v>
      </c>
      <c r="C128" s="2" t="s">
        <v>246</v>
      </c>
      <c r="D128" s="2" t="s">
        <v>17</v>
      </c>
      <c r="E128" t="str">
        <f>IF(OR(A128="", B128=""), "Check missing data", IF(COUNTIFS($A$2:A128, A128, $B$2:B128, B128)&gt;1, "Possible Duplicate", "First Occurrence"))</f>
        <v>First Occurrence</v>
      </c>
      <c r="F128" t="str">
        <f t="shared" si="2"/>
        <v>Present</v>
      </c>
      <c r="H128" t="str">
        <f t="shared" si="3"/>
        <v>Finance</v>
      </c>
    </row>
    <row r="129" spans="1:8" x14ac:dyDescent="0.35">
      <c r="A129" s="2" t="s">
        <v>49</v>
      </c>
      <c r="B129" s="3">
        <v>46216</v>
      </c>
      <c r="C129" s="2" t="s">
        <v>30</v>
      </c>
      <c r="D129" s="2" t="s">
        <v>17</v>
      </c>
      <c r="E129" t="str">
        <f>IF(OR(A129="", B129=""), "Check missing data", IF(COUNTIFS($A$2:A129, A129, $B$2:B129, B129)&gt;1, "Possible Duplicate", "First Occurrence"))</f>
        <v>First Occurrence</v>
      </c>
      <c r="F129" t="str">
        <f t="shared" si="2"/>
        <v>On Leave</v>
      </c>
      <c r="H129" t="str">
        <f t="shared" si="3"/>
        <v>Finance</v>
      </c>
    </row>
    <row r="130" spans="1:8" x14ac:dyDescent="0.35">
      <c r="A130" s="2" t="s">
        <v>49</v>
      </c>
      <c r="B130" s="3">
        <v>46233</v>
      </c>
      <c r="C130" s="2" t="s">
        <v>246</v>
      </c>
      <c r="D130" s="2" t="s">
        <v>17</v>
      </c>
      <c r="E130" t="str">
        <f>IF(OR(A130="", B130=""), "Check missing data", IF(COUNTIFS($A$2:A130, A130, $B$2:B130, B130)&gt;1, "Possible Duplicate", "First Occurrence"))</f>
        <v>First Occurrence</v>
      </c>
      <c r="F130" t="str">
        <f t="shared" si="2"/>
        <v>Present</v>
      </c>
      <c r="H130" t="str">
        <f t="shared" si="3"/>
        <v>Finance</v>
      </c>
    </row>
    <row r="131" spans="1:8" x14ac:dyDescent="0.35">
      <c r="A131" s="2" t="s">
        <v>49</v>
      </c>
      <c r="B131" s="3">
        <v>46274</v>
      </c>
      <c r="C131" s="2" t="s">
        <v>30</v>
      </c>
      <c r="D131" s="2" t="s">
        <v>17</v>
      </c>
      <c r="E131" t="str">
        <f>IF(OR(A131="", B131=""), "Check missing data", IF(COUNTIFS($A$2:A131, A131, $B$2:B131, B131)&gt;1, "Possible Duplicate", "First Occurrence"))</f>
        <v>First Occurrence</v>
      </c>
      <c r="F131" t="str">
        <f t="shared" ref="F131:F194" si="4">PROPER(TRIM(C131))</f>
        <v>On Leave</v>
      </c>
      <c r="H131" t="str">
        <f t="shared" ref="H131:H194" si="5">TRIM(CLEAN(D131))</f>
        <v>Finance</v>
      </c>
    </row>
    <row r="132" spans="1:8" x14ac:dyDescent="0.35">
      <c r="A132" s="2" t="s">
        <v>49</v>
      </c>
      <c r="B132" s="3">
        <v>46219</v>
      </c>
      <c r="C132" s="2" t="s">
        <v>246</v>
      </c>
      <c r="D132" s="2" t="s">
        <v>17</v>
      </c>
      <c r="E132" t="str">
        <f>IF(OR(A132="", B132=""), "Check missing data", IF(COUNTIFS($A$2:A132, A132, $B$2:B132, B132)&gt;1, "Possible Duplicate", "First Occurrence"))</f>
        <v>First Occurrence</v>
      </c>
      <c r="F132" t="str">
        <f t="shared" si="4"/>
        <v>Present</v>
      </c>
      <c r="H132" t="str">
        <f t="shared" si="5"/>
        <v>Finance</v>
      </c>
    </row>
    <row r="133" spans="1:8" x14ac:dyDescent="0.35">
      <c r="A133" s="2" t="s">
        <v>49</v>
      </c>
      <c r="B133" s="3">
        <v>46245</v>
      </c>
      <c r="C133" s="2" t="s">
        <v>246</v>
      </c>
      <c r="D133" s="2" t="s">
        <v>17</v>
      </c>
      <c r="E133" t="str">
        <f>IF(OR(A133="", B133=""), "Check missing data", IF(COUNTIFS($A$2:A133, A133, $B$2:B133, B133)&gt;1, "Possible Duplicate", "First Occurrence"))</f>
        <v>First Occurrence</v>
      </c>
      <c r="F133" t="str">
        <f t="shared" si="4"/>
        <v>Present</v>
      </c>
      <c r="H133" t="str">
        <f t="shared" si="5"/>
        <v>Finance</v>
      </c>
    </row>
    <row r="134" spans="1:8" x14ac:dyDescent="0.35">
      <c r="A134" s="2" t="s">
        <v>51</v>
      </c>
      <c r="B134" s="3">
        <v>46231</v>
      </c>
      <c r="C134" s="2" t="s">
        <v>245</v>
      </c>
      <c r="D134" s="2" t="s">
        <v>22</v>
      </c>
      <c r="E134" t="str">
        <f>IF(OR(A134="", B134=""), "Check missing data", IF(COUNTIFS($A$2:A134, A134, $B$2:B134, B134)&gt;1, "Possible Duplicate", "First Occurrence"))</f>
        <v>First Occurrence</v>
      </c>
      <c r="F134" t="str">
        <f t="shared" si="4"/>
        <v>Absent</v>
      </c>
      <c r="H134" t="str">
        <f t="shared" si="5"/>
        <v>IT</v>
      </c>
    </row>
    <row r="135" spans="1:8" x14ac:dyDescent="0.35">
      <c r="A135" s="2" t="s">
        <v>51</v>
      </c>
      <c r="B135" s="3">
        <v>46241</v>
      </c>
      <c r="C135" s="2" t="s">
        <v>246</v>
      </c>
      <c r="D135" s="2" t="s">
        <v>22</v>
      </c>
      <c r="E135" t="str">
        <f>IF(OR(A135="", B135=""), "Check missing data", IF(COUNTIFS($A$2:A135, A135, $B$2:B135, B135)&gt;1, "Possible Duplicate", "First Occurrence"))</f>
        <v>First Occurrence</v>
      </c>
      <c r="F135" t="str">
        <f t="shared" si="4"/>
        <v>Present</v>
      </c>
      <c r="H135" t="str">
        <f t="shared" si="5"/>
        <v>IT</v>
      </c>
    </row>
    <row r="136" spans="1:8" x14ac:dyDescent="0.35">
      <c r="A136" s="2" t="s">
        <v>51</v>
      </c>
      <c r="B136" s="3">
        <v>46224</v>
      </c>
      <c r="C136" s="2" t="s">
        <v>246</v>
      </c>
      <c r="D136" s="2" t="s">
        <v>22</v>
      </c>
      <c r="E136" t="str">
        <f>IF(OR(A136="", B136=""), "Check missing data", IF(COUNTIFS($A$2:A136, A136, $B$2:B136, B136)&gt;1, "Possible Duplicate", "First Occurrence"))</f>
        <v>First Occurrence</v>
      </c>
      <c r="F136" t="str">
        <f t="shared" si="4"/>
        <v>Present</v>
      </c>
      <c r="H136" t="str">
        <f t="shared" si="5"/>
        <v>IT</v>
      </c>
    </row>
    <row r="137" spans="1:8" x14ac:dyDescent="0.35">
      <c r="A137" s="2" t="s">
        <v>51</v>
      </c>
      <c r="B137" s="3">
        <v>46287</v>
      </c>
      <c r="C137" s="2" t="s">
        <v>246</v>
      </c>
      <c r="D137" s="2" t="s">
        <v>22</v>
      </c>
      <c r="E137" t="str">
        <f>IF(OR(A137="", B137=""), "Check missing data", IF(COUNTIFS($A$2:A137, A137, $B$2:B137, B137)&gt;1, "Possible Duplicate", "First Occurrence"))</f>
        <v>First Occurrence</v>
      </c>
      <c r="F137" t="str">
        <f t="shared" si="4"/>
        <v>Present</v>
      </c>
      <c r="H137" t="str">
        <f t="shared" si="5"/>
        <v>IT</v>
      </c>
    </row>
    <row r="138" spans="1:8" x14ac:dyDescent="0.35">
      <c r="A138" s="2" t="s">
        <v>51</v>
      </c>
      <c r="B138" s="3">
        <v>46286</v>
      </c>
      <c r="C138" s="2" t="s">
        <v>30</v>
      </c>
      <c r="D138" s="2" t="s">
        <v>22</v>
      </c>
      <c r="E138" t="str">
        <f>IF(OR(A138="", B138=""), "Check missing data", IF(COUNTIFS($A$2:A138, A138, $B$2:B138, B138)&gt;1, "Possible Duplicate", "First Occurrence"))</f>
        <v>First Occurrence</v>
      </c>
      <c r="F138" t="str">
        <f t="shared" si="4"/>
        <v>On Leave</v>
      </c>
      <c r="H138" t="str">
        <f t="shared" si="5"/>
        <v>IT</v>
      </c>
    </row>
    <row r="139" spans="1:8" x14ac:dyDescent="0.35">
      <c r="A139" s="2" t="s">
        <v>51</v>
      </c>
      <c r="B139" s="3">
        <v>46248</v>
      </c>
      <c r="C139" s="2" t="s">
        <v>246</v>
      </c>
      <c r="D139" s="2" t="s">
        <v>22</v>
      </c>
      <c r="E139" t="str">
        <f>IF(OR(A139="", B139=""), "Check missing data", IF(COUNTIFS($A$2:A139, A139, $B$2:B139, B139)&gt;1, "Possible Duplicate", "First Occurrence"))</f>
        <v>First Occurrence</v>
      </c>
      <c r="F139" t="str">
        <f t="shared" si="4"/>
        <v>Present</v>
      </c>
      <c r="H139" t="str">
        <f t="shared" si="5"/>
        <v>IT</v>
      </c>
    </row>
    <row r="140" spans="1:8" x14ac:dyDescent="0.35">
      <c r="A140" s="2" t="s">
        <v>51</v>
      </c>
      <c r="B140" s="3">
        <v>46274</v>
      </c>
      <c r="C140" s="2" t="s">
        <v>30</v>
      </c>
      <c r="D140" s="2" t="s">
        <v>22</v>
      </c>
      <c r="E140" t="str">
        <f>IF(OR(A140="", B140=""), "Check missing data", IF(COUNTIFS($A$2:A140, A140, $B$2:B140, B140)&gt;1, "Possible Duplicate", "First Occurrence"))</f>
        <v>First Occurrence</v>
      </c>
      <c r="F140" t="str">
        <f t="shared" si="4"/>
        <v>On Leave</v>
      </c>
      <c r="H140" t="str">
        <f t="shared" si="5"/>
        <v>IT</v>
      </c>
    </row>
    <row r="141" spans="1:8" x14ac:dyDescent="0.35">
      <c r="A141" s="2" t="s">
        <v>51</v>
      </c>
      <c r="B141" s="3">
        <v>46230</v>
      </c>
      <c r="C141" s="2" t="s">
        <v>30</v>
      </c>
      <c r="D141" s="2" t="s">
        <v>22</v>
      </c>
      <c r="E141" t="str">
        <f>IF(OR(A141="", B141=""), "Check missing data", IF(COUNTIFS($A$2:A141, A141, $B$2:B141, B141)&gt;1, "Possible Duplicate", "First Occurrence"))</f>
        <v>First Occurrence</v>
      </c>
      <c r="F141" t="str">
        <f t="shared" si="4"/>
        <v>On Leave</v>
      </c>
      <c r="H141" t="str">
        <f t="shared" si="5"/>
        <v>IT</v>
      </c>
    </row>
    <row r="142" spans="1:8" x14ac:dyDescent="0.35">
      <c r="A142" s="2" t="s">
        <v>51</v>
      </c>
      <c r="B142" s="3">
        <v>46225</v>
      </c>
      <c r="C142" s="2" t="s">
        <v>247</v>
      </c>
      <c r="D142" s="2" t="s">
        <v>22</v>
      </c>
      <c r="E142" t="str">
        <f>IF(OR(A142="", B142=""), "Check missing data", IF(COUNTIFS($A$2:A142, A142, $B$2:B142, B142)&gt;1, "Possible Duplicate", "First Occurrence"))</f>
        <v>First Occurrence</v>
      </c>
      <c r="F142" t="str">
        <f t="shared" si="4"/>
        <v>Late</v>
      </c>
      <c r="H142" t="str">
        <f t="shared" si="5"/>
        <v>IT</v>
      </c>
    </row>
    <row r="143" spans="1:8" x14ac:dyDescent="0.35">
      <c r="A143" s="2" t="s">
        <v>51</v>
      </c>
      <c r="B143" s="3">
        <v>46283</v>
      </c>
      <c r="C143" s="2" t="s">
        <v>246</v>
      </c>
      <c r="D143" s="2" t="s">
        <v>22</v>
      </c>
      <c r="E143" t="str">
        <f>IF(OR(A143="", B143=""), "Check missing data", IF(COUNTIFS($A$2:A143, A143, $B$2:B143, B143)&gt;1, "Possible Duplicate", "First Occurrence"))</f>
        <v>First Occurrence</v>
      </c>
      <c r="F143" t="str">
        <f t="shared" si="4"/>
        <v>Present</v>
      </c>
      <c r="H143" t="str">
        <f t="shared" si="5"/>
        <v>IT</v>
      </c>
    </row>
    <row r="144" spans="1:8" x14ac:dyDescent="0.35">
      <c r="A144" s="2" t="s">
        <v>51</v>
      </c>
      <c r="B144" s="3">
        <v>46210</v>
      </c>
      <c r="C144" s="2" t="s">
        <v>246</v>
      </c>
      <c r="D144" s="2" t="s">
        <v>22</v>
      </c>
      <c r="E144" t="str">
        <f>IF(OR(A144="", B144=""), "Check missing data", IF(COUNTIFS($A$2:A144, A144, $B$2:B144, B144)&gt;1, "Possible Duplicate", "First Occurrence"))</f>
        <v>First Occurrence</v>
      </c>
      <c r="F144" t="str">
        <f t="shared" si="4"/>
        <v>Present</v>
      </c>
      <c r="H144" t="str">
        <f t="shared" si="5"/>
        <v>IT</v>
      </c>
    </row>
    <row r="145" spans="1:8" x14ac:dyDescent="0.35">
      <c r="A145" s="2" t="s">
        <v>51</v>
      </c>
      <c r="B145" s="3">
        <v>46206</v>
      </c>
      <c r="C145" s="2" t="s">
        <v>245</v>
      </c>
      <c r="D145" s="2" t="s">
        <v>22</v>
      </c>
      <c r="E145" t="str">
        <f>IF(OR(A145="", B145=""), "Check missing data", IF(COUNTIFS($A$2:A145, A145, $B$2:B145, B145)&gt;1, "Possible Duplicate", "First Occurrence"))</f>
        <v>First Occurrence</v>
      </c>
      <c r="F145" t="str">
        <f t="shared" si="4"/>
        <v>Absent</v>
      </c>
      <c r="H145" t="str">
        <f t="shared" si="5"/>
        <v>IT</v>
      </c>
    </row>
    <row r="146" spans="1:8" x14ac:dyDescent="0.35">
      <c r="A146" s="2" t="s">
        <v>53</v>
      </c>
      <c r="B146" s="3">
        <v>46218</v>
      </c>
      <c r="C146" s="2" t="s">
        <v>246</v>
      </c>
      <c r="D146" s="2" t="s">
        <v>11</v>
      </c>
      <c r="E146" t="str">
        <f>IF(OR(A146="", B146=""), "Check missing data", IF(COUNTIFS($A$2:A146, A146, $B$2:B146, B146)&gt;1, "Possible Duplicate", "First Occurrence"))</f>
        <v>First Occurrence</v>
      </c>
      <c r="F146" t="str">
        <f t="shared" si="4"/>
        <v>Present</v>
      </c>
      <c r="H146" t="str">
        <f t="shared" si="5"/>
        <v>Operations</v>
      </c>
    </row>
    <row r="147" spans="1:8" x14ac:dyDescent="0.35">
      <c r="A147" s="2" t="s">
        <v>53</v>
      </c>
      <c r="B147" s="3">
        <v>46209</v>
      </c>
      <c r="C147" s="2" t="s">
        <v>246</v>
      </c>
      <c r="D147" s="2" t="s">
        <v>11</v>
      </c>
      <c r="E147" t="str">
        <f>IF(OR(A147="", B147=""), "Check missing data", IF(COUNTIFS($A$2:A147, A147, $B$2:B147, B147)&gt;1, "Possible Duplicate", "First Occurrence"))</f>
        <v>First Occurrence</v>
      </c>
      <c r="F147" t="str">
        <f t="shared" si="4"/>
        <v>Present</v>
      </c>
      <c r="H147" t="str">
        <f t="shared" si="5"/>
        <v>Operations</v>
      </c>
    </row>
    <row r="148" spans="1:8" x14ac:dyDescent="0.35">
      <c r="A148" s="2" t="s">
        <v>53</v>
      </c>
      <c r="B148" s="3">
        <v>46295</v>
      </c>
      <c r="C148" s="2" t="s">
        <v>247</v>
      </c>
      <c r="D148" s="2" t="s">
        <v>11</v>
      </c>
      <c r="E148" t="str">
        <f>IF(OR(A148="", B148=""), "Check missing data", IF(COUNTIFS($A$2:A148, A148, $B$2:B148, B148)&gt;1, "Possible Duplicate", "First Occurrence"))</f>
        <v>First Occurrence</v>
      </c>
      <c r="F148" t="str">
        <f t="shared" si="4"/>
        <v>Late</v>
      </c>
      <c r="H148" t="str">
        <f t="shared" si="5"/>
        <v>Operations</v>
      </c>
    </row>
    <row r="149" spans="1:8" x14ac:dyDescent="0.35">
      <c r="A149" s="2" t="s">
        <v>53</v>
      </c>
      <c r="B149" s="3">
        <v>46265</v>
      </c>
      <c r="C149" s="2" t="s">
        <v>246</v>
      </c>
      <c r="D149" s="2" t="s">
        <v>11</v>
      </c>
      <c r="E149" t="str">
        <f>IF(OR(A149="", B149=""), "Check missing data", IF(COUNTIFS($A$2:A149, A149, $B$2:B149, B149)&gt;1, "Possible Duplicate", "First Occurrence"))</f>
        <v>First Occurrence</v>
      </c>
      <c r="F149" t="str">
        <f t="shared" si="4"/>
        <v>Present</v>
      </c>
      <c r="H149" t="str">
        <f t="shared" si="5"/>
        <v>Operations</v>
      </c>
    </row>
    <row r="150" spans="1:8" x14ac:dyDescent="0.35">
      <c r="A150" s="2" t="s">
        <v>53</v>
      </c>
      <c r="B150" s="3">
        <v>46244</v>
      </c>
      <c r="C150" s="2" t="s">
        <v>30</v>
      </c>
      <c r="D150" s="2" t="s">
        <v>11</v>
      </c>
      <c r="E150" t="str">
        <f>IF(OR(A150="", B150=""), "Check missing data", IF(COUNTIFS($A$2:A150, A150, $B$2:B150, B150)&gt;1, "Possible Duplicate", "First Occurrence"))</f>
        <v>First Occurrence</v>
      </c>
      <c r="F150" t="str">
        <f t="shared" si="4"/>
        <v>On Leave</v>
      </c>
      <c r="H150" t="str">
        <f t="shared" si="5"/>
        <v>Operations</v>
      </c>
    </row>
    <row r="151" spans="1:8" x14ac:dyDescent="0.35">
      <c r="A151" s="2" t="s">
        <v>53</v>
      </c>
      <c r="B151" s="3">
        <v>46268</v>
      </c>
      <c r="C151" s="2" t="s">
        <v>245</v>
      </c>
      <c r="D151" s="2" t="s">
        <v>11</v>
      </c>
      <c r="E151" t="str">
        <f>IF(OR(A151="", B151=""), "Check missing data", IF(COUNTIFS($A$2:A151, A151, $B$2:B151, B151)&gt;1, "Possible Duplicate", "First Occurrence"))</f>
        <v>First Occurrence</v>
      </c>
      <c r="F151" t="str">
        <f t="shared" si="4"/>
        <v>Absent</v>
      </c>
      <c r="H151" t="str">
        <f t="shared" si="5"/>
        <v>Operations</v>
      </c>
    </row>
    <row r="152" spans="1:8" x14ac:dyDescent="0.35">
      <c r="A152" s="2" t="s">
        <v>53</v>
      </c>
      <c r="B152" s="3">
        <v>46283</v>
      </c>
      <c r="C152" s="2" t="s">
        <v>246</v>
      </c>
      <c r="D152" s="2" t="s">
        <v>11</v>
      </c>
      <c r="E152" t="str">
        <f>IF(OR(A152="", B152=""), "Check missing data", IF(COUNTIFS($A$2:A152, A152, $B$2:B152, B152)&gt;1, "Possible Duplicate", "First Occurrence"))</f>
        <v>First Occurrence</v>
      </c>
      <c r="F152" t="str">
        <f t="shared" si="4"/>
        <v>Present</v>
      </c>
      <c r="H152" t="str">
        <f t="shared" si="5"/>
        <v>Operations</v>
      </c>
    </row>
    <row r="153" spans="1:8" x14ac:dyDescent="0.35">
      <c r="A153" s="2" t="s">
        <v>53</v>
      </c>
      <c r="B153" s="3">
        <v>46240</v>
      </c>
      <c r="C153" s="2" t="s">
        <v>246</v>
      </c>
      <c r="D153" s="2" t="s">
        <v>11</v>
      </c>
      <c r="E153" t="str">
        <f>IF(OR(A153="", B153=""), "Check missing data", IF(COUNTIFS($A$2:A153, A153, $B$2:B153, B153)&gt;1, "Possible Duplicate", "First Occurrence"))</f>
        <v>First Occurrence</v>
      </c>
      <c r="F153" t="str">
        <f t="shared" si="4"/>
        <v>Present</v>
      </c>
      <c r="H153" t="str">
        <f t="shared" si="5"/>
        <v>Operations</v>
      </c>
    </row>
    <row r="154" spans="1:8" x14ac:dyDescent="0.35">
      <c r="A154" s="2" t="s">
        <v>53</v>
      </c>
      <c r="B154" s="3">
        <v>46293</v>
      </c>
      <c r="C154" s="2" t="s">
        <v>246</v>
      </c>
      <c r="D154" s="2" t="s">
        <v>11</v>
      </c>
      <c r="E154" t="str">
        <f>IF(OR(A154="", B154=""), "Check missing data", IF(COUNTIFS($A$2:A154, A154, $B$2:B154, B154)&gt;1, "Possible Duplicate", "First Occurrence"))</f>
        <v>First Occurrence</v>
      </c>
      <c r="F154" t="str">
        <f t="shared" si="4"/>
        <v>Present</v>
      </c>
      <c r="H154" t="str">
        <f t="shared" si="5"/>
        <v>Operations</v>
      </c>
    </row>
    <row r="155" spans="1:8" x14ac:dyDescent="0.35">
      <c r="A155" s="2" t="s">
        <v>53</v>
      </c>
      <c r="B155" s="3">
        <v>46223</v>
      </c>
      <c r="C155" s="2" t="s">
        <v>246</v>
      </c>
      <c r="D155" s="2" t="s">
        <v>11</v>
      </c>
      <c r="E155" t="str">
        <f>IF(OR(A155="", B155=""), "Check missing data", IF(COUNTIFS($A$2:A155, A155, $B$2:B155, B155)&gt;1, "Possible Duplicate", "First Occurrence"))</f>
        <v>First Occurrence</v>
      </c>
      <c r="F155" t="str">
        <f t="shared" si="4"/>
        <v>Present</v>
      </c>
      <c r="H155" t="str">
        <f t="shared" si="5"/>
        <v>Operations</v>
      </c>
    </row>
    <row r="156" spans="1:8" x14ac:dyDescent="0.35">
      <c r="A156" s="2" t="s">
        <v>53</v>
      </c>
      <c r="B156" s="3">
        <v>46241</v>
      </c>
      <c r="C156" s="2" t="s">
        <v>246</v>
      </c>
      <c r="D156" s="2" t="s">
        <v>11</v>
      </c>
      <c r="E156" t="str">
        <f>IF(OR(A156="", B156=""), "Check missing data", IF(COUNTIFS($A$2:A156, A156, $B$2:B156, B156)&gt;1, "Possible Duplicate", "First Occurrence"))</f>
        <v>First Occurrence</v>
      </c>
      <c r="F156" t="str">
        <f t="shared" si="4"/>
        <v>Present</v>
      </c>
      <c r="H156" t="str">
        <f t="shared" si="5"/>
        <v>Operations</v>
      </c>
    </row>
    <row r="157" spans="1:8" x14ac:dyDescent="0.35">
      <c r="A157" s="2" t="s">
        <v>53</v>
      </c>
      <c r="B157" s="3">
        <v>46275</v>
      </c>
      <c r="C157" s="2" t="s">
        <v>30</v>
      </c>
      <c r="D157" s="2" t="s">
        <v>11</v>
      </c>
      <c r="E157" t="str">
        <f>IF(OR(A157="", B157=""), "Check missing data", IF(COUNTIFS($A$2:A157, A157, $B$2:B157, B157)&gt;1, "Possible Duplicate", "First Occurrence"))</f>
        <v>First Occurrence</v>
      </c>
      <c r="F157" t="str">
        <f t="shared" si="4"/>
        <v>On Leave</v>
      </c>
      <c r="H157" t="str">
        <f t="shared" si="5"/>
        <v>Operations</v>
      </c>
    </row>
    <row r="158" spans="1:8" x14ac:dyDescent="0.35">
      <c r="A158" s="2" t="s">
        <v>55</v>
      </c>
      <c r="B158" s="3">
        <v>46280</v>
      </c>
      <c r="C158" s="2" t="s">
        <v>245</v>
      </c>
      <c r="D158" s="2" t="s">
        <v>17</v>
      </c>
      <c r="E158" t="str">
        <f>IF(OR(A158="", B158=""), "Check missing data", IF(COUNTIFS($A$2:A158, A158, $B$2:B158, B158)&gt;1, "Possible Duplicate", "First Occurrence"))</f>
        <v>First Occurrence</v>
      </c>
      <c r="F158" t="str">
        <f t="shared" si="4"/>
        <v>Absent</v>
      </c>
      <c r="H158" t="str">
        <f t="shared" si="5"/>
        <v>Finance</v>
      </c>
    </row>
    <row r="159" spans="1:8" x14ac:dyDescent="0.35">
      <c r="A159" s="2" t="s">
        <v>55</v>
      </c>
      <c r="B159" s="3">
        <v>46218</v>
      </c>
      <c r="C159" s="2" t="s">
        <v>245</v>
      </c>
      <c r="D159" s="2" t="s">
        <v>17</v>
      </c>
      <c r="E159" t="str">
        <f>IF(OR(A159="", B159=""), "Check missing data", IF(COUNTIFS($A$2:A159, A159, $B$2:B159, B159)&gt;1, "Possible Duplicate", "First Occurrence"))</f>
        <v>First Occurrence</v>
      </c>
      <c r="F159" t="str">
        <f t="shared" si="4"/>
        <v>Absent</v>
      </c>
      <c r="H159" t="str">
        <f t="shared" si="5"/>
        <v>Finance</v>
      </c>
    </row>
    <row r="160" spans="1:8" x14ac:dyDescent="0.35">
      <c r="A160" s="2" t="s">
        <v>55</v>
      </c>
      <c r="B160" s="3">
        <v>46211</v>
      </c>
      <c r="C160" s="2" t="s">
        <v>246</v>
      </c>
      <c r="D160" s="2" t="s">
        <v>17</v>
      </c>
      <c r="E160" t="str">
        <f>IF(OR(A160="", B160=""), "Check missing data", IF(COUNTIFS($A$2:A160, A160, $B$2:B160, B160)&gt;1, "Possible Duplicate", "First Occurrence"))</f>
        <v>First Occurrence</v>
      </c>
      <c r="F160" t="str">
        <f t="shared" si="4"/>
        <v>Present</v>
      </c>
      <c r="H160" t="str">
        <f t="shared" si="5"/>
        <v>Finance</v>
      </c>
    </row>
    <row r="161" spans="1:8" x14ac:dyDescent="0.35">
      <c r="A161" s="2" t="s">
        <v>55</v>
      </c>
      <c r="B161" s="3">
        <v>46294</v>
      </c>
      <c r="C161" s="2" t="s">
        <v>246</v>
      </c>
      <c r="D161" s="2" t="s">
        <v>17</v>
      </c>
      <c r="E161" t="str">
        <f>IF(OR(A161="", B161=""), "Check missing data", IF(COUNTIFS($A$2:A161, A161, $B$2:B161, B161)&gt;1, "Possible Duplicate", "First Occurrence"))</f>
        <v>First Occurrence</v>
      </c>
      <c r="F161" t="str">
        <f t="shared" si="4"/>
        <v>Present</v>
      </c>
      <c r="H161" t="str">
        <f t="shared" si="5"/>
        <v>Finance</v>
      </c>
    </row>
    <row r="162" spans="1:8" x14ac:dyDescent="0.35">
      <c r="A162" s="2" t="s">
        <v>55</v>
      </c>
      <c r="B162" s="3">
        <v>46241</v>
      </c>
      <c r="C162" s="2" t="s">
        <v>247</v>
      </c>
      <c r="D162" s="2" t="s">
        <v>17</v>
      </c>
      <c r="E162" t="str">
        <f>IF(OR(A162="", B162=""), "Check missing data", IF(COUNTIFS($A$2:A162, A162, $B$2:B162, B162)&gt;1, "Possible Duplicate", "First Occurrence"))</f>
        <v>First Occurrence</v>
      </c>
      <c r="F162" t="str">
        <f t="shared" si="4"/>
        <v>Late</v>
      </c>
      <c r="H162" t="str">
        <f t="shared" si="5"/>
        <v>Finance</v>
      </c>
    </row>
    <row r="163" spans="1:8" x14ac:dyDescent="0.35">
      <c r="A163" s="2" t="s">
        <v>55</v>
      </c>
      <c r="B163" s="3">
        <v>46216</v>
      </c>
      <c r="C163" s="2" t="s">
        <v>247</v>
      </c>
      <c r="D163" s="2" t="s">
        <v>17</v>
      </c>
      <c r="E163" t="str">
        <f>IF(OR(A163="", B163=""), "Check missing data", IF(COUNTIFS($A$2:A163, A163, $B$2:B163, B163)&gt;1, "Possible Duplicate", "First Occurrence"))</f>
        <v>First Occurrence</v>
      </c>
      <c r="F163" t="str">
        <f t="shared" si="4"/>
        <v>Late</v>
      </c>
      <c r="H163" t="str">
        <f t="shared" si="5"/>
        <v>Finance</v>
      </c>
    </row>
    <row r="164" spans="1:8" x14ac:dyDescent="0.35">
      <c r="A164" s="2" t="s">
        <v>55</v>
      </c>
      <c r="B164" s="3">
        <v>46268</v>
      </c>
      <c r="C164" s="2" t="s">
        <v>247</v>
      </c>
      <c r="D164" s="2" t="s">
        <v>17</v>
      </c>
      <c r="E164" t="str">
        <f>IF(OR(A164="", B164=""), "Check missing data", IF(COUNTIFS($A$2:A164, A164, $B$2:B164, B164)&gt;1, "Possible Duplicate", "First Occurrence"))</f>
        <v>First Occurrence</v>
      </c>
      <c r="F164" t="str">
        <f t="shared" si="4"/>
        <v>Late</v>
      </c>
      <c r="H164" t="str">
        <f t="shared" si="5"/>
        <v>Finance</v>
      </c>
    </row>
    <row r="165" spans="1:8" x14ac:dyDescent="0.35">
      <c r="A165" s="2" t="s">
        <v>55</v>
      </c>
      <c r="B165" s="3">
        <v>46281</v>
      </c>
      <c r="C165" s="2" t="s">
        <v>246</v>
      </c>
      <c r="D165" s="2" t="s">
        <v>17</v>
      </c>
      <c r="E165" t="str">
        <f>IF(OR(A165="", B165=""), "Check missing data", IF(COUNTIFS($A$2:A165, A165, $B$2:B165, B165)&gt;1, "Possible Duplicate", "First Occurrence"))</f>
        <v>First Occurrence</v>
      </c>
      <c r="F165" t="str">
        <f t="shared" si="4"/>
        <v>Present</v>
      </c>
      <c r="H165" t="str">
        <f t="shared" si="5"/>
        <v>Finance</v>
      </c>
    </row>
    <row r="166" spans="1:8" x14ac:dyDescent="0.35">
      <c r="A166" s="2" t="s">
        <v>55</v>
      </c>
      <c r="B166" s="3">
        <v>46230</v>
      </c>
      <c r="C166" s="2" t="s">
        <v>245</v>
      </c>
      <c r="D166" s="2" t="s">
        <v>17</v>
      </c>
      <c r="E166" t="str">
        <f>IF(OR(A166="", B166=""), "Check missing data", IF(COUNTIFS($A$2:A166, A166, $B$2:B166, B166)&gt;1, "Possible Duplicate", "First Occurrence"))</f>
        <v>First Occurrence</v>
      </c>
      <c r="F166" t="str">
        <f t="shared" si="4"/>
        <v>Absent</v>
      </c>
      <c r="H166" t="str">
        <f t="shared" si="5"/>
        <v>Finance</v>
      </c>
    </row>
    <row r="167" spans="1:8" x14ac:dyDescent="0.35">
      <c r="A167" s="2" t="s">
        <v>55</v>
      </c>
      <c r="B167" s="3">
        <v>46279</v>
      </c>
      <c r="C167" s="2" t="s">
        <v>30</v>
      </c>
      <c r="D167" s="2" t="s">
        <v>17</v>
      </c>
      <c r="E167" t="str">
        <f>IF(OR(A167="", B167=""), "Check missing data", IF(COUNTIFS($A$2:A167, A167, $B$2:B167, B167)&gt;1, "Possible Duplicate", "First Occurrence"))</f>
        <v>First Occurrence</v>
      </c>
      <c r="F167" t="str">
        <f t="shared" si="4"/>
        <v>On Leave</v>
      </c>
      <c r="H167" t="str">
        <f t="shared" si="5"/>
        <v>Finance</v>
      </c>
    </row>
    <row r="168" spans="1:8" x14ac:dyDescent="0.35">
      <c r="A168" s="2" t="s">
        <v>55</v>
      </c>
      <c r="B168" s="3">
        <v>46273</v>
      </c>
      <c r="C168" s="2" t="s">
        <v>30</v>
      </c>
      <c r="D168" s="2" t="s">
        <v>17</v>
      </c>
      <c r="E168" t="str">
        <f>IF(OR(A168="", B168=""), "Check missing data", IF(COUNTIFS($A$2:A168, A168, $B$2:B168, B168)&gt;1, "Possible Duplicate", "First Occurrence"))</f>
        <v>First Occurrence</v>
      </c>
      <c r="F168" t="str">
        <f t="shared" si="4"/>
        <v>On Leave</v>
      </c>
      <c r="H168" t="str">
        <f t="shared" si="5"/>
        <v>Finance</v>
      </c>
    </row>
    <row r="169" spans="1:8" x14ac:dyDescent="0.35">
      <c r="A169" s="2" t="s">
        <v>55</v>
      </c>
      <c r="B169" s="3">
        <v>46260</v>
      </c>
      <c r="C169" s="2" t="s">
        <v>246</v>
      </c>
      <c r="D169" s="2" t="s">
        <v>17</v>
      </c>
      <c r="E169" t="str">
        <f>IF(OR(A169="", B169=""), "Check missing data", IF(COUNTIFS($A$2:A169, A169, $B$2:B169, B169)&gt;1, "Possible Duplicate", "First Occurrence"))</f>
        <v>First Occurrence</v>
      </c>
      <c r="F169" t="str">
        <f t="shared" si="4"/>
        <v>Present</v>
      </c>
      <c r="H169" t="str">
        <f t="shared" si="5"/>
        <v>Finance</v>
      </c>
    </row>
    <row r="170" spans="1:8" x14ac:dyDescent="0.35">
      <c r="A170" s="2" t="s">
        <v>58</v>
      </c>
      <c r="B170" s="3">
        <v>46248</v>
      </c>
      <c r="C170" s="2" t="s">
        <v>30</v>
      </c>
      <c r="D170" s="2" t="s">
        <v>17</v>
      </c>
      <c r="E170" t="str">
        <f>IF(OR(A170="", B170=""), "Check missing data", IF(COUNTIFS($A$2:A170, A170, $B$2:B170, B170)&gt;1, "Possible Duplicate", "First Occurrence"))</f>
        <v>First Occurrence</v>
      </c>
      <c r="F170" t="str">
        <f t="shared" si="4"/>
        <v>On Leave</v>
      </c>
      <c r="H170" t="str">
        <f t="shared" si="5"/>
        <v>Finance</v>
      </c>
    </row>
    <row r="171" spans="1:8" x14ac:dyDescent="0.35">
      <c r="A171" s="2" t="s">
        <v>58</v>
      </c>
      <c r="B171" s="3">
        <v>46254</v>
      </c>
      <c r="C171" s="2" t="s">
        <v>247</v>
      </c>
      <c r="D171" s="2" t="s">
        <v>17</v>
      </c>
      <c r="E171" t="str">
        <f>IF(OR(A171="", B171=""), "Check missing data", IF(COUNTIFS($A$2:A171, A171, $B$2:B171, B171)&gt;1, "Possible Duplicate", "First Occurrence"))</f>
        <v>First Occurrence</v>
      </c>
      <c r="F171" t="str">
        <f t="shared" si="4"/>
        <v>Late</v>
      </c>
      <c r="H171" t="str">
        <f t="shared" si="5"/>
        <v>Finance</v>
      </c>
    </row>
    <row r="172" spans="1:8" x14ac:dyDescent="0.35">
      <c r="A172" s="2" t="s">
        <v>58</v>
      </c>
      <c r="B172" s="3">
        <v>46225</v>
      </c>
      <c r="C172" s="2" t="s">
        <v>245</v>
      </c>
      <c r="D172" s="2" t="s">
        <v>17</v>
      </c>
      <c r="E172" t="str">
        <f>IF(OR(A172="", B172=""), "Check missing data", IF(COUNTIFS($A$2:A172, A172, $B$2:B172, B172)&gt;1, "Possible Duplicate", "First Occurrence"))</f>
        <v>First Occurrence</v>
      </c>
      <c r="F172" t="str">
        <f t="shared" si="4"/>
        <v>Absent</v>
      </c>
      <c r="H172" t="str">
        <f t="shared" si="5"/>
        <v>Finance</v>
      </c>
    </row>
    <row r="173" spans="1:8" x14ac:dyDescent="0.35">
      <c r="A173" s="2" t="s">
        <v>58</v>
      </c>
      <c r="B173" s="3">
        <v>46204</v>
      </c>
      <c r="C173" s="2" t="s">
        <v>247</v>
      </c>
      <c r="D173" s="2" t="s">
        <v>17</v>
      </c>
      <c r="E173" t="str">
        <f>IF(OR(A173="", B173=""), "Check missing data", IF(COUNTIFS($A$2:A173, A173, $B$2:B173, B173)&gt;1, "Possible Duplicate", "First Occurrence"))</f>
        <v>First Occurrence</v>
      </c>
      <c r="F173" t="str">
        <f t="shared" si="4"/>
        <v>Late</v>
      </c>
      <c r="H173" t="str">
        <f t="shared" si="5"/>
        <v>Finance</v>
      </c>
    </row>
    <row r="174" spans="1:8" x14ac:dyDescent="0.35">
      <c r="A174" s="2" t="s">
        <v>58</v>
      </c>
      <c r="B174" s="3">
        <v>46230</v>
      </c>
      <c r="C174" s="2" t="s">
        <v>245</v>
      </c>
      <c r="D174" s="2" t="s">
        <v>17</v>
      </c>
      <c r="E174" t="str">
        <f>IF(OR(A174="", B174=""), "Check missing data", IF(COUNTIFS($A$2:A174, A174, $B$2:B174, B174)&gt;1, "Possible Duplicate", "First Occurrence"))</f>
        <v>First Occurrence</v>
      </c>
      <c r="F174" t="str">
        <f t="shared" si="4"/>
        <v>Absent</v>
      </c>
      <c r="H174" t="str">
        <f t="shared" si="5"/>
        <v>Finance</v>
      </c>
    </row>
    <row r="175" spans="1:8" x14ac:dyDescent="0.35">
      <c r="A175" s="2" t="s">
        <v>58</v>
      </c>
      <c r="B175" s="3">
        <v>46281</v>
      </c>
      <c r="C175" s="2" t="s">
        <v>247</v>
      </c>
      <c r="D175" s="2" t="s">
        <v>17</v>
      </c>
      <c r="E175" t="str">
        <f>IF(OR(A175="", B175=""), "Check missing data", IF(COUNTIFS($A$2:A175, A175, $B$2:B175, B175)&gt;1, "Possible Duplicate", "First Occurrence"))</f>
        <v>First Occurrence</v>
      </c>
      <c r="F175" t="str">
        <f t="shared" si="4"/>
        <v>Late</v>
      </c>
      <c r="H175" t="str">
        <f t="shared" si="5"/>
        <v>Finance</v>
      </c>
    </row>
    <row r="176" spans="1:8" x14ac:dyDescent="0.35">
      <c r="A176" s="2" t="s">
        <v>58</v>
      </c>
      <c r="B176" s="3">
        <v>46293</v>
      </c>
      <c r="C176" s="2" t="s">
        <v>247</v>
      </c>
      <c r="D176" s="2" t="s">
        <v>17</v>
      </c>
      <c r="E176" t="str">
        <f>IF(OR(A176="", B176=""), "Check missing data", IF(COUNTIFS($A$2:A176, A176, $B$2:B176, B176)&gt;1, "Possible Duplicate", "First Occurrence"))</f>
        <v>First Occurrence</v>
      </c>
      <c r="F176" t="str">
        <f t="shared" si="4"/>
        <v>Late</v>
      </c>
      <c r="H176" t="str">
        <f t="shared" si="5"/>
        <v>Finance</v>
      </c>
    </row>
    <row r="177" spans="1:8" x14ac:dyDescent="0.35">
      <c r="A177" s="2" t="s">
        <v>58</v>
      </c>
      <c r="B177" s="3">
        <v>46240</v>
      </c>
      <c r="C177" s="2" t="s">
        <v>246</v>
      </c>
      <c r="D177" s="2" t="s">
        <v>17</v>
      </c>
      <c r="E177" t="str">
        <f>IF(OR(A177="", B177=""), "Check missing data", IF(COUNTIFS($A$2:A177, A177, $B$2:B177, B177)&gt;1, "Possible Duplicate", "First Occurrence"))</f>
        <v>First Occurrence</v>
      </c>
      <c r="F177" t="str">
        <f t="shared" si="4"/>
        <v>Present</v>
      </c>
      <c r="H177" t="str">
        <f t="shared" si="5"/>
        <v>Finance</v>
      </c>
    </row>
    <row r="178" spans="1:8" x14ac:dyDescent="0.35">
      <c r="A178" s="2" t="s">
        <v>58</v>
      </c>
      <c r="B178" s="3">
        <v>46272</v>
      </c>
      <c r="C178" s="2" t="s">
        <v>246</v>
      </c>
      <c r="D178" s="2" t="s">
        <v>17</v>
      </c>
      <c r="E178" t="str">
        <f>IF(OR(A178="", B178=""), "Check missing data", IF(COUNTIFS($A$2:A178, A178, $B$2:B178, B178)&gt;1, "Possible Duplicate", "First Occurrence"))</f>
        <v>First Occurrence</v>
      </c>
      <c r="F178" t="str">
        <f t="shared" si="4"/>
        <v>Present</v>
      </c>
      <c r="H178" t="str">
        <f t="shared" si="5"/>
        <v>Finance</v>
      </c>
    </row>
    <row r="179" spans="1:8" x14ac:dyDescent="0.35">
      <c r="A179" s="2" t="s">
        <v>58</v>
      </c>
      <c r="B179" s="3">
        <v>46255</v>
      </c>
      <c r="C179" s="2" t="s">
        <v>247</v>
      </c>
      <c r="D179" s="2" t="s">
        <v>17</v>
      </c>
      <c r="E179" t="str">
        <f>IF(OR(A179="", B179=""), "Check missing data", IF(COUNTIFS($A$2:A179, A179, $B$2:B179, B179)&gt;1, "Possible Duplicate", "First Occurrence"))</f>
        <v>First Occurrence</v>
      </c>
      <c r="F179" t="str">
        <f t="shared" si="4"/>
        <v>Late</v>
      </c>
      <c r="H179" t="str">
        <f t="shared" si="5"/>
        <v>Finance</v>
      </c>
    </row>
    <row r="180" spans="1:8" x14ac:dyDescent="0.35">
      <c r="A180" s="2" t="s">
        <v>58</v>
      </c>
      <c r="B180" s="3">
        <v>46280</v>
      </c>
      <c r="C180" s="2" t="s">
        <v>30</v>
      </c>
      <c r="D180" s="2" t="s">
        <v>17</v>
      </c>
      <c r="E180" t="str">
        <f>IF(OR(A180="", B180=""), "Check missing data", IF(COUNTIFS($A$2:A180, A180, $B$2:B180, B180)&gt;1, "Possible Duplicate", "First Occurrence"))</f>
        <v>First Occurrence</v>
      </c>
      <c r="F180" t="str">
        <f t="shared" si="4"/>
        <v>On Leave</v>
      </c>
      <c r="H180" t="str">
        <f t="shared" si="5"/>
        <v>Finance</v>
      </c>
    </row>
    <row r="181" spans="1:8" x14ac:dyDescent="0.35">
      <c r="A181" s="2" t="s">
        <v>58</v>
      </c>
      <c r="B181" s="3">
        <v>46246</v>
      </c>
      <c r="C181" s="2" t="s">
        <v>247</v>
      </c>
      <c r="D181" s="2" t="s">
        <v>17</v>
      </c>
      <c r="E181" t="str">
        <f>IF(OR(A181="", B181=""), "Check missing data", IF(COUNTIFS($A$2:A181, A181, $B$2:B181, B181)&gt;1, "Possible Duplicate", "First Occurrence"))</f>
        <v>First Occurrence</v>
      </c>
      <c r="F181" t="str">
        <f t="shared" si="4"/>
        <v>Late</v>
      </c>
      <c r="H181" t="str">
        <f t="shared" si="5"/>
        <v>Finance</v>
      </c>
    </row>
    <row r="182" spans="1:8" x14ac:dyDescent="0.35">
      <c r="A182" s="2" t="s">
        <v>60</v>
      </c>
      <c r="B182" s="3">
        <v>46204</v>
      </c>
      <c r="C182" s="2" t="s">
        <v>246</v>
      </c>
      <c r="D182" s="2" t="s">
        <v>37</v>
      </c>
      <c r="E182" t="str">
        <f>IF(OR(A182="", B182=""), "Check missing data", IF(COUNTIFS($A$2:A182, A182, $B$2:B182, B182)&gt;1, "Possible Duplicate", "First Occurrence"))</f>
        <v>First Occurrence</v>
      </c>
      <c r="F182" t="str">
        <f t="shared" si="4"/>
        <v>Present</v>
      </c>
      <c r="H182" t="str">
        <f t="shared" si="5"/>
        <v>Customer Support</v>
      </c>
    </row>
    <row r="183" spans="1:8" x14ac:dyDescent="0.35">
      <c r="A183" s="2" t="s">
        <v>60</v>
      </c>
      <c r="B183" s="3">
        <v>46254</v>
      </c>
      <c r="C183" s="2" t="s">
        <v>246</v>
      </c>
      <c r="D183" s="2" t="s">
        <v>37</v>
      </c>
      <c r="E183" t="str">
        <f>IF(OR(A183="", B183=""), "Check missing data", IF(COUNTIFS($A$2:A183, A183, $B$2:B183, B183)&gt;1, "Possible Duplicate", "First Occurrence"))</f>
        <v>First Occurrence</v>
      </c>
      <c r="F183" t="str">
        <f t="shared" si="4"/>
        <v>Present</v>
      </c>
      <c r="H183" t="str">
        <f t="shared" si="5"/>
        <v>Customer Support</v>
      </c>
    </row>
    <row r="184" spans="1:8" x14ac:dyDescent="0.35">
      <c r="A184" s="2" t="s">
        <v>60</v>
      </c>
      <c r="B184" s="3">
        <v>46265</v>
      </c>
      <c r="C184" s="2" t="s">
        <v>245</v>
      </c>
      <c r="D184" s="2" t="s">
        <v>37</v>
      </c>
      <c r="E184" t="str">
        <f>IF(OR(A184="", B184=""), "Check missing data", IF(COUNTIFS($A$2:A184, A184, $B$2:B184, B184)&gt;1, "Possible Duplicate", "First Occurrence"))</f>
        <v>First Occurrence</v>
      </c>
      <c r="F184" t="str">
        <f t="shared" si="4"/>
        <v>Absent</v>
      </c>
      <c r="H184" t="str">
        <f t="shared" si="5"/>
        <v>Customer Support</v>
      </c>
    </row>
    <row r="185" spans="1:8" x14ac:dyDescent="0.35">
      <c r="A185" s="2" t="s">
        <v>60</v>
      </c>
      <c r="B185" s="3">
        <v>46280</v>
      </c>
      <c r="C185" s="2" t="s">
        <v>30</v>
      </c>
      <c r="D185" s="2" t="s">
        <v>37</v>
      </c>
      <c r="E185" t="str">
        <f>IF(OR(A185="", B185=""), "Check missing data", IF(COUNTIFS($A$2:A185, A185, $B$2:B185, B185)&gt;1, "Possible Duplicate", "First Occurrence"))</f>
        <v>First Occurrence</v>
      </c>
      <c r="F185" t="str">
        <f t="shared" si="4"/>
        <v>On Leave</v>
      </c>
      <c r="H185" t="str">
        <f t="shared" si="5"/>
        <v>Customer Support</v>
      </c>
    </row>
    <row r="186" spans="1:8" x14ac:dyDescent="0.35">
      <c r="A186" s="2" t="s">
        <v>60</v>
      </c>
      <c r="B186" s="3">
        <v>46231</v>
      </c>
      <c r="C186" s="2" t="s">
        <v>246</v>
      </c>
      <c r="D186" s="2" t="s">
        <v>37</v>
      </c>
      <c r="E186" t="str">
        <f>IF(OR(A186="", B186=""), "Check missing data", IF(COUNTIFS($A$2:A186, A186, $B$2:B186, B186)&gt;1, "Possible Duplicate", "First Occurrence"))</f>
        <v>First Occurrence</v>
      </c>
      <c r="F186" t="str">
        <f t="shared" si="4"/>
        <v>Present</v>
      </c>
      <c r="H186" t="str">
        <f t="shared" si="5"/>
        <v>Customer Support</v>
      </c>
    </row>
    <row r="187" spans="1:8" x14ac:dyDescent="0.35">
      <c r="A187" s="2" t="s">
        <v>60</v>
      </c>
      <c r="B187" s="3">
        <v>46274</v>
      </c>
      <c r="C187" s="2" t="s">
        <v>246</v>
      </c>
      <c r="D187" s="2" t="s">
        <v>37</v>
      </c>
      <c r="E187" t="str">
        <f>IF(OR(A187="", B187=""), "Check missing data", IF(COUNTIFS($A$2:A187, A187, $B$2:B187, B187)&gt;1, "Possible Duplicate", "First Occurrence"))</f>
        <v>First Occurrence</v>
      </c>
      <c r="F187" t="str">
        <f t="shared" si="4"/>
        <v>Present</v>
      </c>
      <c r="H187" t="str">
        <f t="shared" si="5"/>
        <v>Customer Support</v>
      </c>
    </row>
    <row r="188" spans="1:8" x14ac:dyDescent="0.35">
      <c r="A188" s="2" t="s">
        <v>60</v>
      </c>
      <c r="B188" s="3">
        <v>46224</v>
      </c>
      <c r="C188" s="2" t="s">
        <v>30</v>
      </c>
      <c r="D188" s="2" t="s">
        <v>37</v>
      </c>
      <c r="E188" t="str">
        <f>IF(OR(A188="", B188=""), "Check missing data", IF(COUNTIFS($A$2:A188, A188, $B$2:B188, B188)&gt;1, "Possible Duplicate", "First Occurrence"))</f>
        <v>First Occurrence</v>
      </c>
      <c r="F188" t="str">
        <f t="shared" si="4"/>
        <v>On Leave</v>
      </c>
      <c r="H188" t="str">
        <f t="shared" si="5"/>
        <v>Customer Support</v>
      </c>
    </row>
    <row r="189" spans="1:8" x14ac:dyDescent="0.35">
      <c r="A189" s="2" t="s">
        <v>60</v>
      </c>
      <c r="B189" s="3">
        <v>46218</v>
      </c>
      <c r="C189" s="2" t="s">
        <v>246</v>
      </c>
      <c r="D189" s="2" t="s">
        <v>37</v>
      </c>
      <c r="E189" t="str">
        <f>IF(OR(A189="", B189=""), "Check missing data", IF(COUNTIFS($A$2:A189, A189, $B$2:B189, B189)&gt;1, "Possible Duplicate", "First Occurrence"))</f>
        <v>First Occurrence</v>
      </c>
      <c r="F189" t="str">
        <f t="shared" si="4"/>
        <v>Present</v>
      </c>
      <c r="H189" t="str">
        <f t="shared" si="5"/>
        <v>Customer Support</v>
      </c>
    </row>
    <row r="190" spans="1:8" x14ac:dyDescent="0.35">
      <c r="A190" s="2" t="s">
        <v>60</v>
      </c>
      <c r="B190" s="3">
        <v>46258</v>
      </c>
      <c r="C190" s="2" t="s">
        <v>30</v>
      </c>
      <c r="D190" s="2" t="s">
        <v>37</v>
      </c>
      <c r="E190" t="str">
        <f>IF(OR(A190="", B190=""), "Check missing data", IF(COUNTIFS($A$2:A190, A190, $B$2:B190, B190)&gt;1, "Possible Duplicate", "First Occurrence"))</f>
        <v>First Occurrence</v>
      </c>
      <c r="F190" t="str">
        <f t="shared" si="4"/>
        <v>On Leave</v>
      </c>
      <c r="H190" t="str">
        <f t="shared" si="5"/>
        <v>Customer Support</v>
      </c>
    </row>
    <row r="191" spans="1:8" x14ac:dyDescent="0.35">
      <c r="A191" s="2" t="s">
        <v>60</v>
      </c>
      <c r="B191" s="3">
        <v>46252</v>
      </c>
      <c r="C191" s="2" t="s">
        <v>246</v>
      </c>
      <c r="D191" s="2" t="s">
        <v>37</v>
      </c>
      <c r="E191" t="str">
        <f>IF(OR(A191="", B191=""), "Check missing data", IF(COUNTIFS($A$2:A191, A191, $B$2:B191, B191)&gt;1, "Possible Duplicate", "First Occurrence"))</f>
        <v>First Occurrence</v>
      </c>
      <c r="F191" t="str">
        <f t="shared" si="4"/>
        <v>Present</v>
      </c>
      <c r="H191" t="str">
        <f t="shared" si="5"/>
        <v>Customer Support</v>
      </c>
    </row>
    <row r="192" spans="1:8" x14ac:dyDescent="0.35">
      <c r="A192" s="2" t="s">
        <v>60</v>
      </c>
      <c r="B192" s="3">
        <v>46232</v>
      </c>
      <c r="C192" s="2" t="s">
        <v>246</v>
      </c>
      <c r="D192" s="2" t="s">
        <v>37</v>
      </c>
      <c r="E192" t="str">
        <f>IF(OR(A192="", B192=""), "Check missing data", IF(COUNTIFS($A$2:A192, A192, $B$2:B192, B192)&gt;1, "Possible Duplicate", "First Occurrence"))</f>
        <v>First Occurrence</v>
      </c>
      <c r="F192" t="str">
        <f t="shared" si="4"/>
        <v>Present</v>
      </c>
      <c r="H192" t="str">
        <f t="shared" si="5"/>
        <v>Customer Support</v>
      </c>
    </row>
    <row r="193" spans="1:8" x14ac:dyDescent="0.35">
      <c r="A193" s="2" t="s">
        <v>60</v>
      </c>
      <c r="B193" s="3">
        <v>46268</v>
      </c>
      <c r="C193" s="2" t="s">
        <v>246</v>
      </c>
      <c r="D193" s="2" t="s">
        <v>37</v>
      </c>
      <c r="E193" t="str">
        <f>IF(OR(A193="", B193=""), "Check missing data", IF(COUNTIFS($A$2:A193, A193, $B$2:B193, B193)&gt;1, "Possible Duplicate", "First Occurrence"))</f>
        <v>First Occurrence</v>
      </c>
      <c r="F193" t="str">
        <f t="shared" si="4"/>
        <v>Present</v>
      </c>
      <c r="H193" t="str">
        <f t="shared" si="5"/>
        <v>Customer Support</v>
      </c>
    </row>
    <row r="194" spans="1:8" x14ac:dyDescent="0.35">
      <c r="A194" s="2" t="s">
        <v>63</v>
      </c>
      <c r="B194" s="3">
        <v>46213</v>
      </c>
      <c r="C194" s="2" t="s">
        <v>245</v>
      </c>
      <c r="D194" s="2" t="s">
        <v>41</v>
      </c>
      <c r="E194" t="str">
        <f>IF(OR(A194="", B194=""), "Check missing data", IF(COUNTIFS($A$2:A194, A194, $B$2:B194, B194)&gt;1, "Possible Duplicate", "First Occurrence"))</f>
        <v>First Occurrence</v>
      </c>
      <c r="F194" t="str">
        <f t="shared" si="4"/>
        <v>Absent</v>
      </c>
      <c r="H194" t="str">
        <f t="shared" si="5"/>
        <v>Human Resources</v>
      </c>
    </row>
    <row r="195" spans="1:8" x14ac:dyDescent="0.35">
      <c r="A195" s="2" t="s">
        <v>63</v>
      </c>
      <c r="B195" s="3">
        <v>46255</v>
      </c>
      <c r="C195" s="2" t="s">
        <v>30</v>
      </c>
      <c r="D195" s="2" t="s">
        <v>41</v>
      </c>
      <c r="E195" t="str">
        <f>IF(OR(A195="", B195=""), "Check missing data", IF(COUNTIFS($A$2:A195, A195, $B$2:B195, B195)&gt;1, "Possible Duplicate", "First Occurrence"))</f>
        <v>First Occurrence</v>
      </c>
      <c r="F195" t="str">
        <f t="shared" ref="F195:F258" si="6">PROPER(TRIM(C195))</f>
        <v>On Leave</v>
      </c>
      <c r="H195" t="str">
        <f t="shared" ref="H195:H258" si="7">TRIM(CLEAN(D195))</f>
        <v>Human Resources</v>
      </c>
    </row>
    <row r="196" spans="1:8" x14ac:dyDescent="0.35">
      <c r="A196" s="2" t="s">
        <v>63</v>
      </c>
      <c r="B196" s="3">
        <v>46245</v>
      </c>
      <c r="C196" s="2" t="s">
        <v>246</v>
      </c>
      <c r="D196" s="2" t="s">
        <v>41</v>
      </c>
      <c r="E196" t="str">
        <f>IF(OR(A196="", B196=""), "Check missing data", IF(COUNTIFS($A$2:A196, A196, $B$2:B196, B196)&gt;1, "Possible Duplicate", "First Occurrence"))</f>
        <v>First Occurrence</v>
      </c>
      <c r="F196" t="str">
        <f t="shared" si="6"/>
        <v>Present</v>
      </c>
      <c r="H196" t="str">
        <f t="shared" si="7"/>
        <v>Human Resources</v>
      </c>
    </row>
    <row r="197" spans="1:8" x14ac:dyDescent="0.35">
      <c r="A197" s="2" t="s">
        <v>63</v>
      </c>
      <c r="B197" s="3">
        <v>46227</v>
      </c>
      <c r="C197" s="2" t="s">
        <v>246</v>
      </c>
      <c r="D197" s="2" t="s">
        <v>41</v>
      </c>
      <c r="E197" t="str">
        <f>IF(OR(A197="", B197=""), "Check missing data", IF(COUNTIFS($A$2:A197, A197, $B$2:B197, B197)&gt;1, "Possible Duplicate", "First Occurrence"))</f>
        <v>First Occurrence</v>
      </c>
      <c r="F197" t="str">
        <f t="shared" si="6"/>
        <v>Present</v>
      </c>
      <c r="H197" t="str">
        <f t="shared" si="7"/>
        <v>Human Resources</v>
      </c>
    </row>
    <row r="198" spans="1:8" x14ac:dyDescent="0.35">
      <c r="A198" s="2" t="s">
        <v>63</v>
      </c>
      <c r="B198" s="3">
        <v>46280</v>
      </c>
      <c r="C198" s="2" t="s">
        <v>247</v>
      </c>
      <c r="D198" s="2" t="s">
        <v>41</v>
      </c>
      <c r="E198" t="str">
        <f>IF(OR(A198="", B198=""), "Check missing data", IF(COUNTIFS($A$2:A198, A198, $B$2:B198, B198)&gt;1, "Possible Duplicate", "First Occurrence"))</f>
        <v>First Occurrence</v>
      </c>
      <c r="F198" t="str">
        <f t="shared" si="6"/>
        <v>Late</v>
      </c>
      <c r="H198" t="str">
        <f t="shared" si="7"/>
        <v>Human Resources</v>
      </c>
    </row>
    <row r="199" spans="1:8" x14ac:dyDescent="0.35">
      <c r="A199" s="2" t="s">
        <v>63</v>
      </c>
      <c r="B199" s="3">
        <v>46267</v>
      </c>
      <c r="C199" s="2" t="s">
        <v>247</v>
      </c>
      <c r="D199" s="2" t="s">
        <v>41</v>
      </c>
      <c r="E199" t="str">
        <f>IF(OR(A199="", B199=""), "Check missing data", IF(COUNTIFS($A$2:A199, A199, $B$2:B199, B199)&gt;1, "Possible Duplicate", "First Occurrence"))</f>
        <v>First Occurrence</v>
      </c>
      <c r="F199" t="str">
        <f t="shared" si="6"/>
        <v>Late</v>
      </c>
      <c r="H199" t="str">
        <f t="shared" si="7"/>
        <v>Human Resources</v>
      </c>
    </row>
    <row r="200" spans="1:8" x14ac:dyDescent="0.35">
      <c r="A200" s="2" t="s">
        <v>63</v>
      </c>
      <c r="B200" s="3">
        <v>46260</v>
      </c>
      <c r="C200" s="2" t="s">
        <v>246</v>
      </c>
      <c r="D200" s="2" t="s">
        <v>41</v>
      </c>
      <c r="E200" t="str">
        <f>IF(OR(A200="", B200=""), "Check missing data", IF(COUNTIFS($A$2:A200, A200, $B$2:B200, B200)&gt;1, "Possible Duplicate", "First Occurrence"))</f>
        <v>First Occurrence</v>
      </c>
      <c r="F200" t="str">
        <f t="shared" si="6"/>
        <v>Present</v>
      </c>
      <c r="H200" t="str">
        <f t="shared" si="7"/>
        <v>Human Resources</v>
      </c>
    </row>
    <row r="201" spans="1:8" x14ac:dyDescent="0.35">
      <c r="A201" s="2" t="s">
        <v>63</v>
      </c>
      <c r="B201" s="3">
        <v>46216</v>
      </c>
      <c r="C201" s="2" t="s">
        <v>30</v>
      </c>
      <c r="D201" s="2" t="s">
        <v>41</v>
      </c>
      <c r="E201" t="str">
        <f>IF(OR(A201="", B201=""), "Check missing data", IF(COUNTIFS($A$2:A201, A201, $B$2:B201, B201)&gt;1, "Possible Duplicate", "First Occurrence"))</f>
        <v>First Occurrence</v>
      </c>
      <c r="F201" t="str">
        <f t="shared" si="6"/>
        <v>On Leave</v>
      </c>
      <c r="H201" t="str">
        <f t="shared" si="7"/>
        <v>Human Resources</v>
      </c>
    </row>
    <row r="202" spans="1:8" x14ac:dyDescent="0.35">
      <c r="A202" s="2" t="s">
        <v>63</v>
      </c>
      <c r="B202" s="3">
        <v>46241</v>
      </c>
      <c r="C202" s="2" t="s">
        <v>246</v>
      </c>
      <c r="D202" s="2" t="s">
        <v>41</v>
      </c>
      <c r="E202" t="str">
        <f>IF(OR(A202="", B202=""), "Check missing data", IF(COUNTIFS($A$2:A202, A202, $B$2:B202, B202)&gt;1, "Possible Duplicate", "First Occurrence"))</f>
        <v>First Occurrence</v>
      </c>
      <c r="F202" t="str">
        <f t="shared" si="6"/>
        <v>Present</v>
      </c>
      <c r="H202" t="str">
        <f t="shared" si="7"/>
        <v>Human Resources</v>
      </c>
    </row>
    <row r="203" spans="1:8" x14ac:dyDescent="0.35">
      <c r="A203" s="2" t="s">
        <v>63</v>
      </c>
      <c r="B203" s="3">
        <v>46238</v>
      </c>
      <c r="C203" s="2" t="s">
        <v>245</v>
      </c>
      <c r="D203" s="2" t="s">
        <v>41</v>
      </c>
      <c r="E203" t="str">
        <f>IF(OR(A203="", B203=""), "Check missing data", IF(COUNTIFS($A$2:A203, A203, $B$2:B203, B203)&gt;1, "Possible Duplicate", "First Occurrence"))</f>
        <v>First Occurrence</v>
      </c>
      <c r="F203" t="str">
        <f t="shared" si="6"/>
        <v>Absent</v>
      </c>
      <c r="H203" t="str">
        <f t="shared" si="7"/>
        <v>Human Resources</v>
      </c>
    </row>
    <row r="204" spans="1:8" x14ac:dyDescent="0.35">
      <c r="A204" s="2" t="s">
        <v>63</v>
      </c>
      <c r="B204" s="3">
        <v>46282</v>
      </c>
      <c r="C204" s="2" t="s">
        <v>246</v>
      </c>
      <c r="D204" s="2" t="s">
        <v>41</v>
      </c>
      <c r="E204" t="str">
        <f>IF(OR(A204="", B204=""), "Check missing data", IF(COUNTIFS($A$2:A204, A204, $B$2:B204, B204)&gt;1, "Possible Duplicate", "First Occurrence"))</f>
        <v>First Occurrence</v>
      </c>
      <c r="F204" t="str">
        <f t="shared" si="6"/>
        <v>Present</v>
      </c>
      <c r="H204" t="str">
        <f t="shared" si="7"/>
        <v>Human Resources</v>
      </c>
    </row>
    <row r="205" spans="1:8" x14ac:dyDescent="0.35">
      <c r="A205" s="2" t="s">
        <v>63</v>
      </c>
      <c r="B205" s="3">
        <v>46230</v>
      </c>
      <c r="C205" s="2" t="s">
        <v>247</v>
      </c>
      <c r="D205" s="2" t="s">
        <v>41</v>
      </c>
      <c r="E205" t="str">
        <f>IF(OR(A205="", B205=""), "Check missing data", IF(COUNTIFS($A$2:A205, A205, $B$2:B205, B205)&gt;1, "Possible Duplicate", "First Occurrence"))</f>
        <v>First Occurrence</v>
      </c>
      <c r="F205" t="str">
        <f t="shared" si="6"/>
        <v>Late</v>
      </c>
      <c r="H205" t="str">
        <f t="shared" si="7"/>
        <v>Human Resources</v>
      </c>
    </row>
    <row r="206" spans="1:8" x14ac:dyDescent="0.35">
      <c r="A206" s="2" t="s">
        <v>65</v>
      </c>
      <c r="B206" s="3">
        <v>46252</v>
      </c>
      <c r="C206" s="2" t="s">
        <v>246</v>
      </c>
      <c r="D206" s="2" t="s">
        <v>22</v>
      </c>
      <c r="E206" t="str">
        <f>IF(OR(A206="", B206=""), "Check missing data", IF(COUNTIFS($A$2:A206, A206, $B$2:B206, B206)&gt;1, "Possible Duplicate", "First Occurrence"))</f>
        <v>First Occurrence</v>
      </c>
      <c r="F206" t="str">
        <f t="shared" si="6"/>
        <v>Present</v>
      </c>
      <c r="H206" t="str">
        <f t="shared" si="7"/>
        <v>IT</v>
      </c>
    </row>
    <row r="207" spans="1:8" x14ac:dyDescent="0.35">
      <c r="A207" s="2" t="s">
        <v>65</v>
      </c>
      <c r="B207" s="3">
        <v>46289</v>
      </c>
      <c r="C207" s="2" t="s">
        <v>247</v>
      </c>
      <c r="D207" s="2" t="s">
        <v>22</v>
      </c>
      <c r="E207" t="str">
        <f>IF(OR(A207="", B207=""), "Check missing data", IF(COUNTIFS($A$2:A207, A207, $B$2:B207, B207)&gt;1, "Possible Duplicate", "First Occurrence"))</f>
        <v>First Occurrence</v>
      </c>
      <c r="F207" t="str">
        <f t="shared" si="6"/>
        <v>Late</v>
      </c>
      <c r="H207" t="str">
        <f t="shared" si="7"/>
        <v>IT</v>
      </c>
    </row>
    <row r="208" spans="1:8" x14ac:dyDescent="0.35">
      <c r="A208" s="2" t="s">
        <v>65</v>
      </c>
      <c r="B208" s="3">
        <v>46210</v>
      </c>
      <c r="C208" s="2" t="s">
        <v>30</v>
      </c>
      <c r="D208" s="2" t="s">
        <v>22</v>
      </c>
      <c r="E208" t="str">
        <f>IF(OR(A208="", B208=""), "Check missing data", IF(COUNTIFS($A$2:A208, A208, $B$2:B208, B208)&gt;1, "Possible Duplicate", "First Occurrence"))</f>
        <v>First Occurrence</v>
      </c>
      <c r="F208" t="str">
        <f t="shared" si="6"/>
        <v>On Leave</v>
      </c>
      <c r="H208" t="str">
        <f t="shared" si="7"/>
        <v>IT</v>
      </c>
    </row>
    <row r="209" spans="1:8" x14ac:dyDescent="0.35">
      <c r="A209" s="2" t="s">
        <v>65</v>
      </c>
      <c r="B209" s="3">
        <v>46295</v>
      </c>
      <c r="C209" s="2" t="s">
        <v>246</v>
      </c>
      <c r="D209" s="2" t="s">
        <v>22</v>
      </c>
      <c r="E209" t="str">
        <f>IF(OR(A209="", B209=""), "Check missing data", IF(COUNTIFS($A$2:A209, A209, $B$2:B209, B209)&gt;1, "Possible Duplicate", "First Occurrence"))</f>
        <v>First Occurrence</v>
      </c>
      <c r="F209" t="str">
        <f t="shared" si="6"/>
        <v>Present</v>
      </c>
      <c r="H209" t="str">
        <f t="shared" si="7"/>
        <v>IT</v>
      </c>
    </row>
    <row r="210" spans="1:8" x14ac:dyDescent="0.35">
      <c r="A210" s="2" t="s">
        <v>65</v>
      </c>
      <c r="B210" s="3">
        <v>46274</v>
      </c>
      <c r="C210" s="2" t="s">
        <v>247</v>
      </c>
      <c r="D210" s="2" t="s">
        <v>22</v>
      </c>
      <c r="E210" t="str">
        <f>IF(OR(A210="", B210=""), "Check missing data", IF(COUNTIFS($A$2:A210, A210, $B$2:B210, B210)&gt;1, "Possible Duplicate", "First Occurrence"))</f>
        <v>First Occurrence</v>
      </c>
      <c r="F210" t="str">
        <f t="shared" si="6"/>
        <v>Late</v>
      </c>
      <c r="H210" t="str">
        <f t="shared" si="7"/>
        <v>IT</v>
      </c>
    </row>
    <row r="211" spans="1:8" x14ac:dyDescent="0.35">
      <c r="A211" s="2" t="s">
        <v>65</v>
      </c>
      <c r="B211" s="3">
        <v>46251</v>
      </c>
      <c r="C211" s="2" t="s">
        <v>245</v>
      </c>
      <c r="D211" s="2" t="s">
        <v>22</v>
      </c>
      <c r="E211" t="str">
        <f>IF(OR(A211="", B211=""), "Check missing data", IF(COUNTIFS($A$2:A211, A211, $B$2:B211, B211)&gt;1, "Possible Duplicate", "First Occurrence"))</f>
        <v>First Occurrence</v>
      </c>
      <c r="F211" t="str">
        <f t="shared" si="6"/>
        <v>Absent</v>
      </c>
      <c r="H211" t="str">
        <f t="shared" si="7"/>
        <v>IT</v>
      </c>
    </row>
    <row r="212" spans="1:8" x14ac:dyDescent="0.35">
      <c r="A212" s="2" t="s">
        <v>65</v>
      </c>
      <c r="B212" s="3">
        <v>46266</v>
      </c>
      <c r="C212" s="2" t="s">
        <v>246</v>
      </c>
      <c r="D212" s="2" t="s">
        <v>22</v>
      </c>
      <c r="E212" t="str">
        <f>IF(OR(A212="", B212=""), "Check missing data", IF(COUNTIFS($A$2:A212, A212, $B$2:B212, B212)&gt;1, "Possible Duplicate", "First Occurrence"))</f>
        <v>First Occurrence</v>
      </c>
      <c r="F212" t="str">
        <f t="shared" si="6"/>
        <v>Present</v>
      </c>
      <c r="H212" t="str">
        <f t="shared" si="7"/>
        <v>IT</v>
      </c>
    </row>
    <row r="213" spans="1:8" x14ac:dyDescent="0.35">
      <c r="A213" s="2" t="s">
        <v>65</v>
      </c>
      <c r="B213" s="3">
        <v>46268</v>
      </c>
      <c r="C213" s="2" t="s">
        <v>30</v>
      </c>
      <c r="D213" s="2" t="s">
        <v>22</v>
      </c>
      <c r="E213" t="str">
        <f>IF(OR(A213="", B213=""), "Check missing data", IF(COUNTIFS($A$2:A213, A213, $B$2:B213, B213)&gt;1, "Possible Duplicate", "First Occurrence"))</f>
        <v>First Occurrence</v>
      </c>
      <c r="F213" t="str">
        <f t="shared" si="6"/>
        <v>On Leave</v>
      </c>
      <c r="H213" t="str">
        <f t="shared" si="7"/>
        <v>IT</v>
      </c>
    </row>
    <row r="214" spans="1:8" x14ac:dyDescent="0.35">
      <c r="A214" s="2" t="s">
        <v>65</v>
      </c>
      <c r="B214" s="3">
        <v>46272</v>
      </c>
      <c r="C214" s="2" t="s">
        <v>246</v>
      </c>
      <c r="D214" s="2" t="s">
        <v>22</v>
      </c>
      <c r="E214" t="str">
        <f>IF(OR(A214="", B214=""), "Check missing data", IF(COUNTIFS($A$2:A214, A214, $B$2:B214, B214)&gt;1, "Possible Duplicate", "First Occurrence"))</f>
        <v>First Occurrence</v>
      </c>
      <c r="F214" t="str">
        <f t="shared" si="6"/>
        <v>Present</v>
      </c>
      <c r="H214" t="str">
        <f t="shared" si="7"/>
        <v>IT</v>
      </c>
    </row>
    <row r="215" spans="1:8" x14ac:dyDescent="0.35">
      <c r="A215" s="2" t="s">
        <v>65</v>
      </c>
      <c r="B215" s="3">
        <v>46217</v>
      </c>
      <c r="C215" s="2" t="s">
        <v>30</v>
      </c>
      <c r="D215" s="2" t="s">
        <v>22</v>
      </c>
      <c r="E215" t="str">
        <f>IF(OR(A215="", B215=""), "Check missing data", IF(COUNTIFS($A$2:A215, A215, $B$2:B215, B215)&gt;1, "Possible Duplicate", "First Occurrence"))</f>
        <v>First Occurrence</v>
      </c>
      <c r="F215" t="str">
        <f t="shared" si="6"/>
        <v>On Leave</v>
      </c>
      <c r="H215" t="str">
        <f t="shared" si="7"/>
        <v>IT</v>
      </c>
    </row>
    <row r="216" spans="1:8" x14ac:dyDescent="0.35">
      <c r="A216" s="2" t="s">
        <v>65</v>
      </c>
      <c r="B216" s="3">
        <v>46244</v>
      </c>
      <c r="C216" s="2" t="s">
        <v>246</v>
      </c>
      <c r="D216" s="2" t="s">
        <v>22</v>
      </c>
      <c r="E216" t="str">
        <f>IF(OR(A216="", B216=""), "Check missing data", IF(COUNTIFS($A$2:A216, A216, $B$2:B216, B216)&gt;1, "Possible Duplicate", "First Occurrence"))</f>
        <v>First Occurrence</v>
      </c>
      <c r="F216" t="str">
        <f t="shared" si="6"/>
        <v>Present</v>
      </c>
      <c r="H216" t="str">
        <f t="shared" si="7"/>
        <v>IT</v>
      </c>
    </row>
    <row r="217" spans="1:8" x14ac:dyDescent="0.35">
      <c r="A217" s="2" t="s">
        <v>65</v>
      </c>
      <c r="B217" s="3">
        <v>46209</v>
      </c>
      <c r="C217" s="2" t="s">
        <v>30</v>
      </c>
      <c r="D217" s="2" t="s">
        <v>22</v>
      </c>
      <c r="E217" t="str">
        <f>IF(OR(A217="", B217=""), "Check missing data", IF(COUNTIFS($A$2:A217, A217, $B$2:B217, B217)&gt;1, "Possible Duplicate", "First Occurrence"))</f>
        <v>First Occurrence</v>
      </c>
      <c r="F217" t="str">
        <f t="shared" si="6"/>
        <v>On Leave</v>
      </c>
      <c r="H217" t="str">
        <f t="shared" si="7"/>
        <v>IT</v>
      </c>
    </row>
    <row r="218" spans="1:8" x14ac:dyDescent="0.35">
      <c r="A218" s="2" t="s">
        <v>69</v>
      </c>
      <c r="B218" s="3">
        <v>46232</v>
      </c>
      <c r="C218" s="2" t="s">
        <v>247</v>
      </c>
      <c r="D218" s="2" t="s">
        <v>22</v>
      </c>
      <c r="E218" t="str">
        <f>IF(OR(A218="", B218=""), "Check missing data", IF(COUNTIFS($A$2:A218, A218, $B$2:B218, B218)&gt;1, "Possible Duplicate", "First Occurrence"))</f>
        <v>First Occurrence</v>
      </c>
      <c r="F218" t="str">
        <f t="shared" si="6"/>
        <v>Late</v>
      </c>
      <c r="H218" t="str">
        <f t="shared" si="7"/>
        <v>IT</v>
      </c>
    </row>
    <row r="219" spans="1:8" x14ac:dyDescent="0.35">
      <c r="A219" s="2" t="s">
        <v>69</v>
      </c>
      <c r="B219" s="3">
        <v>46274</v>
      </c>
      <c r="C219" s="2" t="s">
        <v>246</v>
      </c>
      <c r="D219" s="2" t="s">
        <v>22</v>
      </c>
      <c r="E219" t="str">
        <f>IF(OR(A219="", B219=""), "Check missing data", IF(COUNTIFS($A$2:A219, A219, $B$2:B219, B219)&gt;1, "Possible Duplicate", "First Occurrence"))</f>
        <v>First Occurrence</v>
      </c>
      <c r="F219" t="str">
        <f t="shared" si="6"/>
        <v>Present</v>
      </c>
      <c r="H219" t="str">
        <f t="shared" si="7"/>
        <v>IT</v>
      </c>
    </row>
    <row r="220" spans="1:8" x14ac:dyDescent="0.35">
      <c r="A220" s="2" t="s">
        <v>69</v>
      </c>
      <c r="B220" s="3">
        <v>46275</v>
      </c>
      <c r="C220" s="2" t="s">
        <v>247</v>
      </c>
      <c r="D220" s="2" t="s">
        <v>22</v>
      </c>
      <c r="E220" t="str">
        <f>IF(OR(A220="", B220=""), "Check missing data", IF(COUNTIFS($A$2:A220, A220, $B$2:B220, B220)&gt;1, "Possible Duplicate", "First Occurrence"))</f>
        <v>First Occurrence</v>
      </c>
      <c r="F220" t="str">
        <f t="shared" si="6"/>
        <v>Late</v>
      </c>
      <c r="H220" t="str">
        <f t="shared" si="7"/>
        <v>IT</v>
      </c>
    </row>
    <row r="221" spans="1:8" x14ac:dyDescent="0.35">
      <c r="A221" s="2" t="s">
        <v>69</v>
      </c>
      <c r="B221" s="3">
        <v>46248</v>
      </c>
      <c r="C221" s="2" t="s">
        <v>245</v>
      </c>
      <c r="D221" s="2" t="s">
        <v>22</v>
      </c>
      <c r="E221" t="str">
        <f>IF(OR(A221="", B221=""), "Check missing data", IF(COUNTIFS($A$2:A221, A221, $B$2:B221, B221)&gt;1, "Possible Duplicate", "First Occurrence"))</f>
        <v>First Occurrence</v>
      </c>
      <c r="F221" t="str">
        <f t="shared" si="6"/>
        <v>Absent</v>
      </c>
      <c r="H221" t="str">
        <f t="shared" si="7"/>
        <v>IT</v>
      </c>
    </row>
    <row r="222" spans="1:8" x14ac:dyDescent="0.35">
      <c r="A222" s="2" t="s">
        <v>69</v>
      </c>
      <c r="B222" s="3">
        <v>46204</v>
      </c>
      <c r="C222" s="2" t="s">
        <v>247</v>
      </c>
      <c r="D222" s="2" t="s">
        <v>22</v>
      </c>
      <c r="E222" t="str">
        <f>IF(OR(A222="", B222=""), "Check missing data", IF(COUNTIFS($A$2:A222, A222, $B$2:B222, B222)&gt;1, "Possible Duplicate", "First Occurrence"))</f>
        <v>First Occurrence</v>
      </c>
      <c r="F222" t="str">
        <f t="shared" si="6"/>
        <v>Late</v>
      </c>
      <c r="H222" t="str">
        <f t="shared" si="7"/>
        <v>IT</v>
      </c>
    </row>
    <row r="223" spans="1:8" x14ac:dyDescent="0.35">
      <c r="A223" s="2" t="s">
        <v>69</v>
      </c>
      <c r="B223" s="3">
        <v>46294</v>
      </c>
      <c r="C223" s="2" t="s">
        <v>245</v>
      </c>
      <c r="D223" s="2" t="s">
        <v>22</v>
      </c>
      <c r="E223" t="str">
        <f>IF(OR(A223="", B223=""), "Check missing data", IF(COUNTIFS($A$2:A223, A223, $B$2:B223, B223)&gt;1, "Possible Duplicate", "First Occurrence"))</f>
        <v>First Occurrence</v>
      </c>
      <c r="F223" t="str">
        <f t="shared" si="6"/>
        <v>Absent</v>
      </c>
      <c r="H223" t="str">
        <f t="shared" si="7"/>
        <v>IT</v>
      </c>
    </row>
    <row r="224" spans="1:8" x14ac:dyDescent="0.35">
      <c r="A224" s="2" t="s">
        <v>69</v>
      </c>
      <c r="B224" s="3">
        <v>46261</v>
      </c>
      <c r="C224" s="2" t="s">
        <v>245</v>
      </c>
      <c r="D224" s="2" t="s">
        <v>22</v>
      </c>
      <c r="E224" t="str">
        <f>IF(OR(A224="", B224=""), "Check missing data", IF(COUNTIFS($A$2:A224, A224, $B$2:B224, B224)&gt;1, "Possible Duplicate", "First Occurrence"))</f>
        <v>First Occurrence</v>
      </c>
      <c r="F224" t="str">
        <f t="shared" si="6"/>
        <v>Absent</v>
      </c>
      <c r="H224" t="str">
        <f t="shared" si="7"/>
        <v>IT</v>
      </c>
    </row>
    <row r="225" spans="1:8" x14ac:dyDescent="0.35">
      <c r="A225" s="2" t="s">
        <v>69</v>
      </c>
      <c r="B225" s="3">
        <v>46251</v>
      </c>
      <c r="C225" s="2" t="s">
        <v>245</v>
      </c>
      <c r="D225" s="2" t="s">
        <v>22</v>
      </c>
      <c r="E225" t="str">
        <f>IF(OR(A225="", B225=""), "Check missing data", IF(COUNTIFS($A$2:A225, A225, $B$2:B225, B225)&gt;1, "Possible Duplicate", "First Occurrence"))</f>
        <v>First Occurrence</v>
      </c>
      <c r="F225" t="str">
        <f t="shared" si="6"/>
        <v>Absent</v>
      </c>
      <c r="H225" t="str">
        <f t="shared" si="7"/>
        <v>IT</v>
      </c>
    </row>
    <row r="226" spans="1:8" x14ac:dyDescent="0.35">
      <c r="A226" s="2" t="s">
        <v>69</v>
      </c>
      <c r="B226" s="3">
        <v>46217</v>
      </c>
      <c r="C226" s="2" t="s">
        <v>30</v>
      </c>
      <c r="D226" s="2" t="s">
        <v>22</v>
      </c>
      <c r="E226" t="str">
        <f>IF(OR(A226="", B226=""), "Check missing data", IF(COUNTIFS($A$2:A226, A226, $B$2:B226, B226)&gt;1, "Possible Duplicate", "First Occurrence"))</f>
        <v>First Occurrence</v>
      </c>
      <c r="F226" t="str">
        <f t="shared" si="6"/>
        <v>On Leave</v>
      </c>
      <c r="H226" t="str">
        <f t="shared" si="7"/>
        <v>IT</v>
      </c>
    </row>
    <row r="227" spans="1:8" x14ac:dyDescent="0.35">
      <c r="A227" s="2" t="s">
        <v>69</v>
      </c>
      <c r="B227" s="3">
        <v>46295</v>
      </c>
      <c r="C227" s="2" t="s">
        <v>245</v>
      </c>
      <c r="D227" s="2" t="s">
        <v>22</v>
      </c>
      <c r="E227" t="str">
        <f>IF(OR(A227="", B227=""), "Check missing data", IF(COUNTIFS($A$2:A227, A227, $B$2:B227, B227)&gt;1, "Possible Duplicate", "First Occurrence"))</f>
        <v>First Occurrence</v>
      </c>
      <c r="F227" t="str">
        <f t="shared" si="6"/>
        <v>Absent</v>
      </c>
      <c r="H227" t="str">
        <f t="shared" si="7"/>
        <v>IT</v>
      </c>
    </row>
    <row r="228" spans="1:8" x14ac:dyDescent="0.35">
      <c r="A228" s="2" t="s">
        <v>69</v>
      </c>
      <c r="B228" s="3">
        <v>46280</v>
      </c>
      <c r="C228" s="2" t="s">
        <v>245</v>
      </c>
      <c r="D228" s="2" t="s">
        <v>22</v>
      </c>
      <c r="E228" t="str">
        <f>IF(OR(A228="", B228=""), "Check missing data", IF(COUNTIFS($A$2:A228, A228, $B$2:B228, B228)&gt;1, "Possible Duplicate", "First Occurrence"))</f>
        <v>First Occurrence</v>
      </c>
      <c r="F228" t="str">
        <f t="shared" si="6"/>
        <v>Absent</v>
      </c>
      <c r="H228" t="str">
        <f t="shared" si="7"/>
        <v>IT</v>
      </c>
    </row>
    <row r="229" spans="1:8" x14ac:dyDescent="0.35">
      <c r="A229" s="2" t="s">
        <v>69</v>
      </c>
      <c r="B229" s="3">
        <v>46237</v>
      </c>
      <c r="C229" s="2" t="s">
        <v>246</v>
      </c>
      <c r="D229" s="2" t="s">
        <v>22</v>
      </c>
      <c r="E229" t="str">
        <f>IF(OR(A229="", B229=""), "Check missing data", IF(COUNTIFS($A$2:A229, A229, $B$2:B229, B229)&gt;1, "Possible Duplicate", "First Occurrence"))</f>
        <v>First Occurrence</v>
      </c>
      <c r="F229" t="str">
        <f t="shared" si="6"/>
        <v>Present</v>
      </c>
      <c r="H229" t="str">
        <f t="shared" si="7"/>
        <v>IT</v>
      </c>
    </row>
    <row r="230" spans="1:8" x14ac:dyDescent="0.35">
      <c r="A230" s="2" t="s">
        <v>72</v>
      </c>
      <c r="B230" s="3">
        <v>46290</v>
      </c>
      <c r="C230" s="2" t="s">
        <v>246</v>
      </c>
      <c r="D230" s="2" t="s">
        <v>41</v>
      </c>
      <c r="E230" t="str">
        <f>IF(OR(A230="", B230=""), "Check missing data", IF(COUNTIFS($A$2:A230, A230, $B$2:B230, B230)&gt;1, "Possible Duplicate", "First Occurrence"))</f>
        <v>First Occurrence</v>
      </c>
      <c r="F230" t="str">
        <f t="shared" si="6"/>
        <v>Present</v>
      </c>
      <c r="H230" t="str">
        <f t="shared" si="7"/>
        <v>Human Resources</v>
      </c>
    </row>
    <row r="231" spans="1:8" x14ac:dyDescent="0.35">
      <c r="A231" s="2" t="s">
        <v>72</v>
      </c>
      <c r="B231" s="3">
        <v>46217</v>
      </c>
      <c r="C231" s="2" t="s">
        <v>247</v>
      </c>
      <c r="D231" s="2" t="s">
        <v>41</v>
      </c>
      <c r="E231" t="str">
        <f>IF(OR(A231="", B231=""), "Check missing data", IF(COUNTIFS($A$2:A231, A231, $B$2:B231, B231)&gt;1, "Possible Duplicate", "First Occurrence"))</f>
        <v>First Occurrence</v>
      </c>
      <c r="F231" t="str">
        <f t="shared" si="6"/>
        <v>Late</v>
      </c>
      <c r="H231" t="str">
        <f t="shared" si="7"/>
        <v>Human Resources</v>
      </c>
    </row>
    <row r="232" spans="1:8" x14ac:dyDescent="0.35">
      <c r="A232" s="2" t="s">
        <v>72</v>
      </c>
      <c r="B232" s="3">
        <v>46240</v>
      </c>
      <c r="C232" s="2" t="s">
        <v>246</v>
      </c>
      <c r="D232" s="2" t="s">
        <v>41</v>
      </c>
      <c r="E232" t="str">
        <f>IF(OR(A232="", B232=""), "Check missing data", IF(COUNTIFS($A$2:A232, A232, $B$2:B232, B232)&gt;1, "Possible Duplicate", "First Occurrence"))</f>
        <v>First Occurrence</v>
      </c>
      <c r="F232" t="str">
        <f t="shared" si="6"/>
        <v>Present</v>
      </c>
      <c r="H232" t="str">
        <f t="shared" si="7"/>
        <v>Human Resources</v>
      </c>
    </row>
    <row r="233" spans="1:8" x14ac:dyDescent="0.35">
      <c r="A233" s="2" t="s">
        <v>72</v>
      </c>
      <c r="B233" s="3">
        <v>46254</v>
      </c>
      <c r="C233" s="2" t="s">
        <v>245</v>
      </c>
      <c r="D233" s="2" t="s">
        <v>41</v>
      </c>
      <c r="E233" t="str">
        <f>IF(OR(A233="", B233=""), "Check missing data", IF(COUNTIFS($A$2:A233, A233, $B$2:B233, B233)&gt;1, "Possible Duplicate", "First Occurrence"))</f>
        <v>First Occurrence</v>
      </c>
      <c r="F233" t="str">
        <f t="shared" si="6"/>
        <v>Absent</v>
      </c>
      <c r="H233" t="str">
        <f t="shared" si="7"/>
        <v>Human Resources</v>
      </c>
    </row>
    <row r="234" spans="1:8" x14ac:dyDescent="0.35">
      <c r="A234" s="2" t="s">
        <v>72</v>
      </c>
      <c r="B234" s="3">
        <v>46268</v>
      </c>
      <c r="C234" s="2" t="s">
        <v>30</v>
      </c>
      <c r="D234" s="2" t="s">
        <v>41</v>
      </c>
      <c r="E234" t="str">
        <f>IF(OR(A234="", B234=""), "Check missing data", IF(COUNTIFS($A$2:A234, A234, $B$2:B234, B234)&gt;1, "Possible Duplicate", "First Occurrence"))</f>
        <v>First Occurrence</v>
      </c>
      <c r="F234" t="str">
        <f t="shared" si="6"/>
        <v>On Leave</v>
      </c>
      <c r="H234" t="str">
        <f t="shared" si="7"/>
        <v>Human Resources</v>
      </c>
    </row>
    <row r="235" spans="1:8" x14ac:dyDescent="0.35">
      <c r="A235" s="2" t="s">
        <v>72</v>
      </c>
      <c r="B235" s="3">
        <v>46230</v>
      </c>
      <c r="C235" s="2" t="s">
        <v>246</v>
      </c>
      <c r="D235" s="2" t="s">
        <v>41</v>
      </c>
      <c r="E235" t="str">
        <f>IF(OR(A235="", B235=""), "Check missing data", IF(COUNTIFS($A$2:A235, A235, $B$2:B235, B235)&gt;1, "Possible Duplicate", "First Occurrence"))</f>
        <v>First Occurrence</v>
      </c>
      <c r="F235" t="str">
        <f t="shared" si="6"/>
        <v>Present</v>
      </c>
      <c r="H235" t="str">
        <f t="shared" si="7"/>
        <v>Human Resources</v>
      </c>
    </row>
    <row r="236" spans="1:8" x14ac:dyDescent="0.35">
      <c r="A236" s="2" t="s">
        <v>72</v>
      </c>
      <c r="B236" s="3">
        <v>46218</v>
      </c>
      <c r="C236" s="2" t="s">
        <v>246</v>
      </c>
      <c r="D236" s="2" t="s">
        <v>41</v>
      </c>
      <c r="E236" t="str">
        <f>IF(OR(A236="", B236=""), "Check missing data", IF(COUNTIFS($A$2:A236, A236, $B$2:B236, B236)&gt;1, "Possible Duplicate", "First Occurrence"))</f>
        <v>First Occurrence</v>
      </c>
      <c r="F236" t="str">
        <f t="shared" si="6"/>
        <v>Present</v>
      </c>
      <c r="H236" t="str">
        <f t="shared" si="7"/>
        <v>Human Resources</v>
      </c>
    </row>
    <row r="237" spans="1:8" x14ac:dyDescent="0.35">
      <c r="A237" s="2" t="s">
        <v>72</v>
      </c>
      <c r="B237" s="3">
        <v>46255</v>
      </c>
      <c r="C237" s="2" t="s">
        <v>247</v>
      </c>
      <c r="D237" s="2" t="s">
        <v>41</v>
      </c>
      <c r="E237" t="str">
        <f>IF(OR(A237="", B237=""), "Check missing data", IF(COUNTIFS($A$2:A237, A237, $B$2:B237, B237)&gt;1, "Possible Duplicate", "First Occurrence"))</f>
        <v>First Occurrence</v>
      </c>
      <c r="F237" t="str">
        <f t="shared" si="6"/>
        <v>Late</v>
      </c>
      <c r="H237" t="str">
        <f t="shared" si="7"/>
        <v>Human Resources</v>
      </c>
    </row>
    <row r="238" spans="1:8" x14ac:dyDescent="0.35">
      <c r="A238" s="2" t="s">
        <v>72</v>
      </c>
      <c r="B238" s="3">
        <v>46269</v>
      </c>
      <c r="C238" s="2" t="s">
        <v>245</v>
      </c>
      <c r="D238" s="2" t="s">
        <v>41</v>
      </c>
      <c r="E238" t="str">
        <f>IF(OR(A238="", B238=""), "Check missing data", IF(COUNTIFS($A$2:A238, A238, $B$2:B238, B238)&gt;1, "Possible Duplicate", "First Occurrence"))</f>
        <v>First Occurrence</v>
      </c>
      <c r="F238" t="str">
        <f t="shared" si="6"/>
        <v>Absent</v>
      </c>
      <c r="H238" t="str">
        <f t="shared" si="7"/>
        <v>Human Resources</v>
      </c>
    </row>
    <row r="239" spans="1:8" x14ac:dyDescent="0.35">
      <c r="A239" s="2" t="s">
        <v>72</v>
      </c>
      <c r="B239" s="3">
        <v>46209</v>
      </c>
      <c r="C239" s="2" t="s">
        <v>246</v>
      </c>
      <c r="D239" s="2" t="s">
        <v>41</v>
      </c>
      <c r="E239" t="str">
        <f>IF(OR(A239="", B239=""), "Check missing data", IF(COUNTIFS($A$2:A239, A239, $B$2:B239, B239)&gt;1, "Possible Duplicate", "First Occurrence"))</f>
        <v>First Occurrence</v>
      </c>
      <c r="F239" t="str">
        <f t="shared" si="6"/>
        <v>Present</v>
      </c>
      <c r="H239" t="str">
        <f t="shared" si="7"/>
        <v>Human Resources</v>
      </c>
    </row>
    <row r="240" spans="1:8" x14ac:dyDescent="0.35">
      <c r="A240" s="2" t="s">
        <v>72</v>
      </c>
      <c r="B240" s="3">
        <v>46246</v>
      </c>
      <c r="C240" s="2" t="s">
        <v>245</v>
      </c>
      <c r="D240" s="2" t="s">
        <v>41</v>
      </c>
      <c r="E240" t="str">
        <f>IF(OR(A240="", B240=""), "Check missing data", IF(COUNTIFS($A$2:A240, A240, $B$2:B240, B240)&gt;1, "Possible Duplicate", "First Occurrence"))</f>
        <v>First Occurrence</v>
      </c>
      <c r="F240" t="str">
        <f t="shared" si="6"/>
        <v>Absent</v>
      </c>
      <c r="H240" t="str">
        <f t="shared" si="7"/>
        <v>Human Resources</v>
      </c>
    </row>
    <row r="241" spans="1:8" x14ac:dyDescent="0.35">
      <c r="A241" s="2" t="s">
        <v>72</v>
      </c>
      <c r="B241" s="3">
        <v>46273</v>
      </c>
      <c r="C241" s="2" t="s">
        <v>246</v>
      </c>
      <c r="D241" s="2" t="s">
        <v>41</v>
      </c>
      <c r="E241" t="str">
        <f>IF(OR(A241="", B241=""), "Check missing data", IF(COUNTIFS($A$2:A241, A241, $B$2:B241, B241)&gt;1, "Possible Duplicate", "First Occurrence"))</f>
        <v>First Occurrence</v>
      </c>
      <c r="F241" t="str">
        <f t="shared" si="6"/>
        <v>Present</v>
      </c>
      <c r="H241" t="str">
        <f t="shared" si="7"/>
        <v>Human Resources</v>
      </c>
    </row>
    <row r="242" spans="1:8" x14ac:dyDescent="0.35">
      <c r="A242" s="2" t="s">
        <v>74</v>
      </c>
      <c r="B242" s="3">
        <v>46225</v>
      </c>
      <c r="C242" s="2" t="s">
        <v>246</v>
      </c>
      <c r="D242" s="2" t="s">
        <v>33</v>
      </c>
      <c r="E242" t="str">
        <f>IF(OR(A242="", B242=""), "Check missing data", IF(COUNTIFS($A$2:A242, A242, $B$2:B242, B242)&gt;1, "Possible Duplicate", "First Occurrence"))</f>
        <v>First Occurrence</v>
      </c>
      <c r="F242" t="str">
        <f t="shared" si="6"/>
        <v>Present</v>
      </c>
      <c r="H242" t="str">
        <f t="shared" si="7"/>
        <v>Sales</v>
      </c>
    </row>
    <row r="243" spans="1:8" x14ac:dyDescent="0.35">
      <c r="A243" s="2" t="s">
        <v>74</v>
      </c>
      <c r="B243" s="3">
        <v>46258</v>
      </c>
      <c r="C243" s="2" t="s">
        <v>246</v>
      </c>
      <c r="D243" s="2" t="s">
        <v>33</v>
      </c>
      <c r="E243" t="str">
        <f>IF(OR(A243="", B243=""), "Check missing data", IF(COUNTIFS($A$2:A243, A243, $B$2:B243, B243)&gt;1, "Possible Duplicate", "First Occurrence"))</f>
        <v>First Occurrence</v>
      </c>
      <c r="F243" t="str">
        <f t="shared" si="6"/>
        <v>Present</v>
      </c>
      <c r="H243" t="str">
        <f t="shared" si="7"/>
        <v>Sales</v>
      </c>
    </row>
    <row r="244" spans="1:8" x14ac:dyDescent="0.35">
      <c r="A244" s="2" t="s">
        <v>74</v>
      </c>
      <c r="B244" s="3">
        <v>46251</v>
      </c>
      <c r="C244" s="2" t="s">
        <v>246</v>
      </c>
      <c r="D244" s="2" t="s">
        <v>33</v>
      </c>
      <c r="E244" t="str">
        <f>IF(OR(A244="", B244=""), "Check missing data", IF(COUNTIFS($A$2:A244, A244, $B$2:B244, B244)&gt;1, "Possible Duplicate", "First Occurrence"))</f>
        <v>First Occurrence</v>
      </c>
      <c r="F244" t="str">
        <f t="shared" si="6"/>
        <v>Present</v>
      </c>
      <c r="H244" t="str">
        <f t="shared" si="7"/>
        <v>Sales</v>
      </c>
    </row>
    <row r="245" spans="1:8" x14ac:dyDescent="0.35">
      <c r="A245" s="2" t="s">
        <v>74</v>
      </c>
      <c r="B245" s="3">
        <v>46206</v>
      </c>
      <c r="C245" s="2" t="s">
        <v>246</v>
      </c>
      <c r="D245" s="2" t="s">
        <v>33</v>
      </c>
      <c r="E245" t="str">
        <f>IF(OR(A245="", B245=""), "Check missing data", IF(COUNTIFS($A$2:A245, A245, $B$2:B245, B245)&gt;1, "Possible Duplicate", "First Occurrence"))</f>
        <v>First Occurrence</v>
      </c>
      <c r="F245" t="str">
        <f t="shared" si="6"/>
        <v>Present</v>
      </c>
      <c r="H245" t="str">
        <f t="shared" si="7"/>
        <v>Sales</v>
      </c>
    </row>
    <row r="246" spans="1:8" x14ac:dyDescent="0.35">
      <c r="A246" s="2" t="s">
        <v>74</v>
      </c>
      <c r="B246" s="3">
        <v>46245</v>
      </c>
      <c r="C246" s="2" t="s">
        <v>246</v>
      </c>
      <c r="D246" s="2" t="s">
        <v>33</v>
      </c>
      <c r="E246" t="str">
        <f>IF(OR(A246="", B246=""), "Check missing data", IF(COUNTIFS($A$2:A246, A246, $B$2:B246, B246)&gt;1, "Possible Duplicate", "First Occurrence"))</f>
        <v>First Occurrence</v>
      </c>
      <c r="F246" t="str">
        <f t="shared" si="6"/>
        <v>Present</v>
      </c>
      <c r="H246" t="str">
        <f t="shared" si="7"/>
        <v>Sales</v>
      </c>
    </row>
    <row r="247" spans="1:8" x14ac:dyDescent="0.35">
      <c r="A247" s="2" t="s">
        <v>74</v>
      </c>
      <c r="B247" s="3">
        <v>46287</v>
      </c>
      <c r="C247" s="2" t="s">
        <v>30</v>
      </c>
      <c r="D247" s="2" t="s">
        <v>33</v>
      </c>
      <c r="E247" t="str">
        <f>IF(OR(A247="", B247=""), "Check missing data", IF(COUNTIFS($A$2:A247, A247, $B$2:B247, B247)&gt;1, "Possible Duplicate", "First Occurrence"))</f>
        <v>First Occurrence</v>
      </c>
      <c r="F247" t="str">
        <f t="shared" si="6"/>
        <v>On Leave</v>
      </c>
      <c r="H247" t="str">
        <f t="shared" si="7"/>
        <v>Sales</v>
      </c>
    </row>
    <row r="248" spans="1:8" x14ac:dyDescent="0.35">
      <c r="A248" s="2" t="s">
        <v>74</v>
      </c>
      <c r="B248" s="3">
        <v>46226</v>
      </c>
      <c r="C248" s="2" t="s">
        <v>246</v>
      </c>
      <c r="D248" s="2" t="s">
        <v>33</v>
      </c>
      <c r="E248" t="str">
        <f>IF(OR(A248="", B248=""), "Check missing data", IF(COUNTIFS($A$2:A248, A248, $B$2:B248, B248)&gt;1, "Possible Duplicate", "First Occurrence"))</f>
        <v>First Occurrence</v>
      </c>
      <c r="F248" t="str">
        <f t="shared" si="6"/>
        <v>Present</v>
      </c>
      <c r="H248" t="str">
        <f t="shared" si="7"/>
        <v>Sales</v>
      </c>
    </row>
    <row r="249" spans="1:8" x14ac:dyDescent="0.35">
      <c r="A249" s="2" t="s">
        <v>74</v>
      </c>
      <c r="B249" s="3">
        <v>46255</v>
      </c>
      <c r="C249" s="2" t="s">
        <v>246</v>
      </c>
      <c r="D249" s="2" t="s">
        <v>33</v>
      </c>
      <c r="E249" t="str">
        <f>IF(OR(A249="", B249=""), "Check missing data", IF(COUNTIFS($A$2:A249, A249, $B$2:B249, B249)&gt;1, "Possible Duplicate", "First Occurrence"))</f>
        <v>First Occurrence</v>
      </c>
      <c r="F249" t="str">
        <f t="shared" si="6"/>
        <v>Present</v>
      </c>
      <c r="H249" t="str">
        <f t="shared" si="7"/>
        <v>Sales</v>
      </c>
    </row>
    <row r="250" spans="1:8" x14ac:dyDescent="0.35">
      <c r="A250" s="2" t="s">
        <v>74</v>
      </c>
      <c r="B250" s="3">
        <v>46261</v>
      </c>
      <c r="C250" s="2" t="s">
        <v>246</v>
      </c>
      <c r="D250" s="2" t="s">
        <v>33</v>
      </c>
      <c r="E250" t="str">
        <f>IF(OR(A250="", B250=""), "Check missing data", IF(COUNTIFS($A$2:A250, A250, $B$2:B250, B250)&gt;1, "Possible Duplicate", "First Occurrence"))</f>
        <v>First Occurrence</v>
      </c>
      <c r="F250" t="str">
        <f t="shared" si="6"/>
        <v>Present</v>
      </c>
      <c r="H250" t="str">
        <f t="shared" si="7"/>
        <v>Sales</v>
      </c>
    </row>
    <row r="251" spans="1:8" x14ac:dyDescent="0.35">
      <c r="A251" s="2" t="s">
        <v>74</v>
      </c>
      <c r="B251" s="3">
        <v>46233</v>
      </c>
      <c r="C251" s="2" t="s">
        <v>246</v>
      </c>
      <c r="D251" s="2" t="s">
        <v>33</v>
      </c>
      <c r="E251" t="str">
        <f>IF(OR(A251="", B251=""), "Check missing data", IF(COUNTIFS($A$2:A251, A251, $B$2:B251, B251)&gt;1, "Possible Duplicate", "First Occurrence"))</f>
        <v>First Occurrence</v>
      </c>
      <c r="F251" t="str">
        <f t="shared" si="6"/>
        <v>Present</v>
      </c>
      <c r="H251" t="str">
        <f t="shared" si="7"/>
        <v>Sales</v>
      </c>
    </row>
    <row r="252" spans="1:8" x14ac:dyDescent="0.35">
      <c r="A252" s="2" t="s">
        <v>74</v>
      </c>
      <c r="B252" s="3">
        <v>46213</v>
      </c>
      <c r="C252" s="2" t="s">
        <v>246</v>
      </c>
      <c r="D252" s="2" t="s">
        <v>33</v>
      </c>
      <c r="E252" t="str">
        <f>IF(OR(A252="", B252=""), "Check missing data", IF(COUNTIFS($A$2:A252, A252, $B$2:B252, B252)&gt;1, "Possible Duplicate", "First Occurrence"))</f>
        <v>First Occurrence</v>
      </c>
      <c r="F252" t="str">
        <f t="shared" si="6"/>
        <v>Present</v>
      </c>
      <c r="H252" t="str">
        <f t="shared" si="7"/>
        <v>Sales</v>
      </c>
    </row>
    <row r="253" spans="1:8" x14ac:dyDescent="0.35">
      <c r="A253" s="2" t="s">
        <v>74</v>
      </c>
      <c r="B253" s="3">
        <v>46234</v>
      </c>
      <c r="C253" s="2" t="s">
        <v>245</v>
      </c>
      <c r="D253" s="2" t="s">
        <v>33</v>
      </c>
      <c r="E253" t="str">
        <f>IF(OR(A253="", B253=""), "Check missing data", IF(COUNTIFS($A$2:A253, A253, $B$2:B253, B253)&gt;1, "Possible Duplicate", "First Occurrence"))</f>
        <v>First Occurrence</v>
      </c>
      <c r="F253" t="str">
        <f t="shared" si="6"/>
        <v>Absent</v>
      </c>
      <c r="H253" t="str">
        <f t="shared" si="7"/>
        <v>Sales</v>
      </c>
    </row>
    <row r="254" spans="1:8" x14ac:dyDescent="0.35">
      <c r="A254" s="2" t="s">
        <v>76</v>
      </c>
      <c r="B254" s="3">
        <v>46287</v>
      </c>
      <c r="C254" s="2" t="s">
        <v>30</v>
      </c>
      <c r="D254" s="2" t="s">
        <v>22</v>
      </c>
      <c r="E254" t="str">
        <f>IF(OR(A254="", B254=""), "Check missing data", IF(COUNTIFS($A$2:A254, A254, $B$2:B254, B254)&gt;1, "Possible Duplicate", "First Occurrence"))</f>
        <v>First Occurrence</v>
      </c>
      <c r="F254" t="str">
        <f t="shared" si="6"/>
        <v>On Leave</v>
      </c>
      <c r="H254" t="str">
        <f t="shared" si="7"/>
        <v>IT</v>
      </c>
    </row>
    <row r="255" spans="1:8" x14ac:dyDescent="0.35">
      <c r="A255" s="2" t="s">
        <v>76</v>
      </c>
      <c r="B255" s="3">
        <v>46288</v>
      </c>
      <c r="C255" s="2" t="s">
        <v>30</v>
      </c>
      <c r="D255" s="2" t="s">
        <v>22</v>
      </c>
      <c r="E255" t="str">
        <f>IF(OR(A255="", B255=""), "Check missing data", IF(COUNTIFS($A$2:A255, A255, $B$2:B255, B255)&gt;1, "Possible Duplicate", "First Occurrence"))</f>
        <v>First Occurrence</v>
      </c>
      <c r="F255" t="str">
        <f t="shared" si="6"/>
        <v>On Leave</v>
      </c>
      <c r="H255" t="str">
        <f t="shared" si="7"/>
        <v>IT</v>
      </c>
    </row>
    <row r="256" spans="1:8" x14ac:dyDescent="0.35">
      <c r="A256" s="2" t="s">
        <v>76</v>
      </c>
      <c r="B256" s="3">
        <v>46272</v>
      </c>
      <c r="C256" s="2" t="s">
        <v>246</v>
      </c>
      <c r="D256" s="2" t="s">
        <v>22</v>
      </c>
      <c r="E256" t="str">
        <f>IF(OR(A256="", B256=""), "Check missing data", IF(COUNTIFS($A$2:A256, A256, $B$2:B256, B256)&gt;1, "Possible Duplicate", "First Occurrence"))</f>
        <v>First Occurrence</v>
      </c>
      <c r="F256" t="str">
        <f t="shared" si="6"/>
        <v>Present</v>
      </c>
      <c r="H256" t="str">
        <f t="shared" si="7"/>
        <v>IT</v>
      </c>
    </row>
    <row r="257" spans="1:8" x14ac:dyDescent="0.35">
      <c r="A257" s="2" t="s">
        <v>76</v>
      </c>
      <c r="B257" s="3">
        <v>46213</v>
      </c>
      <c r="C257" s="2" t="s">
        <v>246</v>
      </c>
      <c r="D257" s="2" t="s">
        <v>22</v>
      </c>
      <c r="E257" t="str">
        <f>IF(OR(A257="", B257=""), "Check missing data", IF(COUNTIFS($A$2:A257, A257, $B$2:B257, B257)&gt;1, "Possible Duplicate", "First Occurrence"))</f>
        <v>First Occurrence</v>
      </c>
      <c r="F257" t="str">
        <f t="shared" si="6"/>
        <v>Present</v>
      </c>
      <c r="H257" t="str">
        <f t="shared" si="7"/>
        <v>IT</v>
      </c>
    </row>
    <row r="258" spans="1:8" x14ac:dyDescent="0.35">
      <c r="A258" s="2" t="s">
        <v>76</v>
      </c>
      <c r="B258" s="3">
        <v>46286</v>
      </c>
      <c r="C258" s="2" t="s">
        <v>30</v>
      </c>
      <c r="D258" s="2" t="s">
        <v>22</v>
      </c>
      <c r="E258" t="str">
        <f>IF(OR(A258="", B258=""), "Check missing data", IF(COUNTIFS($A$2:A258, A258, $B$2:B258, B258)&gt;1, "Possible Duplicate", "First Occurrence"))</f>
        <v>First Occurrence</v>
      </c>
      <c r="F258" t="str">
        <f t="shared" si="6"/>
        <v>On Leave</v>
      </c>
      <c r="H258" t="str">
        <f t="shared" si="7"/>
        <v>IT</v>
      </c>
    </row>
    <row r="259" spans="1:8" x14ac:dyDescent="0.35">
      <c r="A259" s="2" t="s">
        <v>76</v>
      </c>
      <c r="B259" s="3">
        <v>46252</v>
      </c>
      <c r="C259" s="2" t="s">
        <v>246</v>
      </c>
      <c r="D259" s="2" t="s">
        <v>22</v>
      </c>
      <c r="E259" t="str">
        <f>IF(OR(A259="", B259=""), "Check missing data", IF(COUNTIFS($A$2:A259, A259, $B$2:B259, B259)&gt;1, "Possible Duplicate", "First Occurrence"))</f>
        <v>First Occurrence</v>
      </c>
      <c r="F259" t="str">
        <f t="shared" ref="F259:F322" si="8">PROPER(TRIM(C259))</f>
        <v>Present</v>
      </c>
      <c r="H259" t="str">
        <f t="shared" ref="H259:H322" si="9">TRIM(CLEAN(D259))</f>
        <v>IT</v>
      </c>
    </row>
    <row r="260" spans="1:8" x14ac:dyDescent="0.35">
      <c r="A260" s="2" t="s">
        <v>76</v>
      </c>
      <c r="B260" s="3">
        <v>46254</v>
      </c>
      <c r="C260" s="2" t="s">
        <v>246</v>
      </c>
      <c r="D260" s="2" t="s">
        <v>22</v>
      </c>
      <c r="E260" t="str">
        <f>IF(OR(A260="", B260=""), "Check missing data", IF(COUNTIFS($A$2:A260, A260, $B$2:B260, B260)&gt;1, "Possible Duplicate", "First Occurrence"))</f>
        <v>First Occurrence</v>
      </c>
      <c r="F260" t="str">
        <f t="shared" si="8"/>
        <v>Present</v>
      </c>
      <c r="H260" t="str">
        <f t="shared" si="9"/>
        <v>IT</v>
      </c>
    </row>
    <row r="261" spans="1:8" x14ac:dyDescent="0.35">
      <c r="A261" s="2" t="s">
        <v>76</v>
      </c>
      <c r="B261" s="3">
        <v>46226</v>
      </c>
      <c r="C261" s="2" t="s">
        <v>247</v>
      </c>
      <c r="D261" s="2" t="s">
        <v>22</v>
      </c>
      <c r="E261" t="str">
        <f>IF(OR(A261="", B261=""), "Check missing data", IF(COUNTIFS($A$2:A261, A261, $B$2:B261, B261)&gt;1, "Possible Duplicate", "First Occurrence"))</f>
        <v>First Occurrence</v>
      </c>
      <c r="F261" t="str">
        <f t="shared" si="8"/>
        <v>Late</v>
      </c>
      <c r="H261" t="str">
        <f t="shared" si="9"/>
        <v>IT</v>
      </c>
    </row>
    <row r="262" spans="1:8" x14ac:dyDescent="0.35">
      <c r="A262" s="2" t="s">
        <v>76</v>
      </c>
      <c r="B262" s="3">
        <v>46217</v>
      </c>
      <c r="C262" s="2" t="s">
        <v>246</v>
      </c>
      <c r="D262" s="2" t="s">
        <v>22</v>
      </c>
      <c r="E262" t="str">
        <f>IF(OR(A262="", B262=""), "Check missing data", IF(COUNTIFS($A$2:A262, A262, $B$2:B262, B262)&gt;1, "Possible Duplicate", "First Occurrence"))</f>
        <v>First Occurrence</v>
      </c>
      <c r="F262" t="str">
        <f t="shared" si="8"/>
        <v>Present</v>
      </c>
      <c r="H262" t="str">
        <f t="shared" si="9"/>
        <v>IT</v>
      </c>
    </row>
    <row r="263" spans="1:8" x14ac:dyDescent="0.35">
      <c r="A263" s="2" t="s">
        <v>76</v>
      </c>
      <c r="B263" s="3">
        <v>46240</v>
      </c>
      <c r="C263" s="2" t="s">
        <v>246</v>
      </c>
      <c r="D263" s="2" t="s">
        <v>22</v>
      </c>
      <c r="E263" t="str">
        <f>IF(OR(A263="", B263=""), "Check missing data", IF(COUNTIFS($A$2:A263, A263, $B$2:B263, B263)&gt;1, "Possible Duplicate", "First Occurrence"))</f>
        <v>First Occurrence</v>
      </c>
      <c r="F263" t="str">
        <f t="shared" si="8"/>
        <v>Present</v>
      </c>
      <c r="H263" t="str">
        <f t="shared" si="9"/>
        <v>IT</v>
      </c>
    </row>
    <row r="264" spans="1:8" x14ac:dyDescent="0.35">
      <c r="A264" s="2" t="s">
        <v>76</v>
      </c>
      <c r="B264" s="3">
        <v>46231</v>
      </c>
      <c r="C264" s="2" t="s">
        <v>30</v>
      </c>
      <c r="D264" s="2" t="s">
        <v>22</v>
      </c>
      <c r="E264" t="str">
        <f>IF(OR(A264="", B264=""), "Check missing data", IF(COUNTIFS($A$2:A264, A264, $B$2:B264, B264)&gt;1, "Possible Duplicate", "First Occurrence"))</f>
        <v>First Occurrence</v>
      </c>
      <c r="F264" t="str">
        <f t="shared" si="8"/>
        <v>On Leave</v>
      </c>
      <c r="H264" t="str">
        <f t="shared" si="9"/>
        <v>IT</v>
      </c>
    </row>
    <row r="265" spans="1:8" x14ac:dyDescent="0.35">
      <c r="A265" s="2" t="s">
        <v>76</v>
      </c>
      <c r="B265" s="3">
        <v>46262</v>
      </c>
      <c r="C265" s="2" t="s">
        <v>245</v>
      </c>
      <c r="D265" s="2" t="s">
        <v>22</v>
      </c>
      <c r="E265" t="str">
        <f>IF(OR(A265="", B265=""), "Check missing data", IF(COUNTIFS($A$2:A265, A265, $B$2:B265, B265)&gt;1, "Possible Duplicate", "First Occurrence"))</f>
        <v>First Occurrence</v>
      </c>
      <c r="F265" t="str">
        <f t="shared" si="8"/>
        <v>Absent</v>
      </c>
      <c r="H265" t="str">
        <f t="shared" si="9"/>
        <v>IT</v>
      </c>
    </row>
    <row r="266" spans="1:8" x14ac:dyDescent="0.35">
      <c r="A266" s="2" t="s">
        <v>78</v>
      </c>
      <c r="B266" s="3">
        <v>46260</v>
      </c>
      <c r="C266" s="2" t="s">
        <v>245</v>
      </c>
      <c r="D266" s="2" t="s">
        <v>41</v>
      </c>
      <c r="E266" t="str">
        <f>IF(OR(A266="", B266=""), "Check missing data", IF(COUNTIFS($A$2:A266, A266, $B$2:B266, B266)&gt;1, "Possible Duplicate", "First Occurrence"))</f>
        <v>First Occurrence</v>
      </c>
      <c r="F266" t="str">
        <f t="shared" si="8"/>
        <v>Absent</v>
      </c>
      <c r="H266" t="str">
        <f t="shared" si="9"/>
        <v>Human Resources</v>
      </c>
    </row>
    <row r="267" spans="1:8" x14ac:dyDescent="0.35">
      <c r="A267" s="2" t="s">
        <v>78</v>
      </c>
      <c r="B267" s="3">
        <v>46268</v>
      </c>
      <c r="C267" s="2" t="s">
        <v>245</v>
      </c>
      <c r="D267" s="2" t="s">
        <v>41</v>
      </c>
      <c r="E267" t="str">
        <f>IF(OR(A267="", B267=""), "Check missing data", IF(COUNTIFS($A$2:A267, A267, $B$2:B267, B267)&gt;1, "Possible Duplicate", "First Occurrence"))</f>
        <v>First Occurrence</v>
      </c>
      <c r="F267" t="str">
        <f t="shared" si="8"/>
        <v>Absent</v>
      </c>
      <c r="H267" t="str">
        <f t="shared" si="9"/>
        <v>Human Resources</v>
      </c>
    </row>
    <row r="268" spans="1:8" x14ac:dyDescent="0.35">
      <c r="A268" s="2" t="s">
        <v>78</v>
      </c>
      <c r="B268" s="3">
        <v>46289</v>
      </c>
      <c r="C268" s="2" t="s">
        <v>245</v>
      </c>
      <c r="D268" s="2" t="s">
        <v>41</v>
      </c>
      <c r="E268" t="str">
        <f>IF(OR(A268="", B268=""), "Check missing data", IF(COUNTIFS($A$2:A268, A268, $B$2:B268, B268)&gt;1, "Possible Duplicate", "First Occurrence"))</f>
        <v>First Occurrence</v>
      </c>
      <c r="F268" t="str">
        <f t="shared" si="8"/>
        <v>Absent</v>
      </c>
      <c r="H268" t="str">
        <f t="shared" si="9"/>
        <v>Human Resources</v>
      </c>
    </row>
    <row r="269" spans="1:8" x14ac:dyDescent="0.35">
      <c r="A269" s="2" t="s">
        <v>78</v>
      </c>
      <c r="B269" s="3">
        <v>46275</v>
      </c>
      <c r="C269" s="2" t="s">
        <v>30</v>
      </c>
      <c r="D269" s="2" t="s">
        <v>41</v>
      </c>
      <c r="E269" t="str">
        <f>IF(OR(A269="", B269=""), "Check missing data", IF(COUNTIFS($A$2:A269, A269, $B$2:B269, B269)&gt;1, "Possible Duplicate", "First Occurrence"))</f>
        <v>First Occurrence</v>
      </c>
      <c r="F269" t="str">
        <f t="shared" si="8"/>
        <v>On Leave</v>
      </c>
      <c r="H269" t="str">
        <f t="shared" si="9"/>
        <v>Human Resources</v>
      </c>
    </row>
    <row r="270" spans="1:8" x14ac:dyDescent="0.35">
      <c r="A270" s="2" t="s">
        <v>78</v>
      </c>
      <c r="B270" s="3">
        <v>46226</v>
      </c>
      <c r="C270" s="2" t="s">
        <v>30</v>
      </c>
      <c r="D270" s="2" t="s">
        <v>41</v>
      </c>
      <c r="E270" t="str">
        <f>IF(OR(A270="", B270=""), "Check missing data", IF(COUNTIFS($A$2:A270, A270, $B$2:B270, B270)&gt;1, "Possible Duplicate", "First Occurrence"))</f>
        <v>First Occurrence</v>
      </c>
      <c r="F270" t="str">
        <f t="shared" si="8"/>
        <v>On Leave</v>
      </c>
      <c r="H270" t="str">
        <f t="shared" si="9"/>
        <v>Human Resources</v>
      </c>
    </row>
    <row r="271" spans="1:8" x14ac:dyDescent="0.35">
      <c r="A271" s="2" t="s">
        <v>78</v>
      </c>
      <c r="B271" s="3">
        <v>46240</v>
      </c>
      <c r="C271" s="2" t="s">
        <v>246</v>
      </c>
      <c r="D271" s="2" t="s">
        <v>41</v>
      </c>
      <c r="E271" t="str">
        <f>IF(OR(A271="", B271=""), "Check missing data", IF(COUNTIFS($A$2:A271, A271, $B$2:B271, B271)&gt;1, "Possible Duplicate", "First Occurrence"))</f>
        <v>First Occurrence</v>
      </c>
      <c r="F271" t="str">
        <f t="shared" si="8"/>
        <v>Present</v>
      </c>
      <c r="H271" t="str">
        <f t="shared" si="9"/>
        <v>Human Resources</v>
      </c>
    </row>
    <row r="272" spans="1:8" x14ac:dyDescent="0.35">
      <c r="A272" s="2" t="s">
        <v>78</v>
      </c>
      <c r="B272" s="3">
        <v>46293</v>
      </c>
      <c r="C272" s="2" t="s">
        <v>245</v>
      </c>
      <c r="D272" s="2" t="s">
        <v>41</v>
      </c>
      <c r="E272" t="str">
        <f>IF(OR(A272="", B272=""), "Check missing data", IF(COUNTIFS($A$2:A272, A272, $B$2:B272, B272)&gt;1, "Possible Duplicate", "First Occurrence"))</f>
        <v>First Occurrence</v>
      </c>
      <c r="F272" t="str">
        <f t="shared" si="8"/>
        <v>Absent</v>
      </c>
      <c r="H272" t="str">
        <f t="shared" si="9"/>
        <v>Human Resources</v>
      </c>
    </row>
    <row r="273" spans="1:8" x14ac:dyDescent="0.35">
      <c r="A273" s="2" t="s">
        <v>78</v>
      </c>
      <c r="B273" s="3">
        <v>46290</v>
      </c>
      <c r="C273" s="2" t="s">
        <v>247</v>
      </c>
      <c r="D273" s="2" t="s">
        <v>41</v>
      </c>
      <c r="E273" t="str">
        <f>IF(OR(A273="", B273=""), "Check missing data", IF(COUNTIFS($A$2:A273, A273, $B$2:B273, B273)&gt;1, "Possible Duplicate", "First Occurrence"))</f>
        <v>First Occurrence</v>
      </c>
      <c r="F273" t="str">
        <f t="shared" si="8"/>
        <v>Late</v>
      </c>
      <c r="H273" t="str">
        <f t="shared" si="9"/>
        <v>Human Resources</v>
      </c>
    </row>
    <row r="274" spans="1:8" x14ac:dyDescent="0.35">
      <c r="A274" s="2" t="s">
        <v>78</v>
      </c>
      <c r="B274" s="3">
        <v>46237</v>
      </c>
      <c r="C274" s="2" t="s">
        <v>246</v>
      </c>
      <c r="D274" s="2" t="s">
        <v>41</v>
      </c>
      <c r="E274" t="str">
        <f>IF(OR(A274="", B274=""), "Check missing data", IF(COUNTIFS($A$2:A274, A274, $B$2:B274, B274)&gt;1, "Possible Duplicate", "First Occurrence"))</f>
        <v>First Occurrence</v>
      </c>
      <c r="F274" t="str">
        <f t="shared" si="8"/>
        <v>Present</v>
      </c>
      <c r="H274" t="str">
        <f t="shared" si="9"/>
        <v>Human Resources</v>
      </c>
    </row>
    <row r="275" spans="1:8" x14ac:dyDescent="0.35">
      <c r="A275" s="2" t="s">
        <v>78</v>
      </c>
      <c r="B275" s="3">
        <v>46212</v>
      </c>
      <c r="C275" s="2" t="s">
        <v>246</v>
      </c>
      <c r="D275" s="2" t="s">
        <v>41</v>
      </c>
      <c r="E275" t="str">
        <f>IF(OR(A275="", B275=""), "Check missing data", IF(COUNTIFS($A$2:A275, A275, $B$2:B275, B275)&gt;1, "Possible Duplicate", "First Occurrence"))</f>
        <v>First Occurrence</v>
      </c>
      <c r="F275" t="str">
        <f t="shared" si="8"/>
        <v>Present</v>
      </c>
      <c r="H275" t="str">
        <f t="shared" si="9"/>
        <v>Human Resources</v>
      </c>
    </row>
    <row r="276" spans="1:8" x14ac:dyDescent="0.35">
      <c r="A276" s="2" t="s">
        <v>78</v>
      </c>
      <c r="B276" s="3">
        <v>46258</v>
      </c>
      <c r="C276" s="2" t="s">
        <v>247</v>
      </c>
      <c r="D276" s="2" t="s">
        <v>41</v>
      </c>
      <c r="E276" t="str">
        <f>IF(OR(A276="", B276=""), "Check missing data", IF(COUNTIFS($A$2:A276, A276, $B$2:B276, B276)&gt;1, "Possible Duplicate", "First Occurrence"))</f>
        <v>First Occurrence</v>
      </c>
      <c r="F276" t="str">
        <f t="shared" si="8"/>
        <v>Late</v>
      </c>
      <c r="H276" t="str">
        <f t="shared" si="9"/>
        <v>Human Resources</v>
      </c>
    </row>
    <row r="277" spans="1:8" x14ac:dyDescent="0.35">
      <c r="A277" s="2" t="s">
        <v>78</v>
      </c>
      <c r="B277" s="3">
        <v>46216</v>
      </c>
      <c r="C277" s="2" t="s">
        <v>30</v>
      </c>
      <c r="D277" s="2" t="s">
        <v>41</v>
      </c>
      <c r="E277" t="str">
        <f>IF(OR(A277="", B277=""), "Check missing data", IF(COUNTIFS($A$2:A277, A277, $B$2:B277, B277)&gt;1, "Possible Duplicate", "First Occurrence"))</f>
        <v>First Occurrence</v>
      </c>
      <c r="F277" t="str">
        <f t="shared" si="8"/>
        <v>On Leave</v>
      </c>
      <c r="H277" t="str">
        <f t="shared" si="9"/>
        <v>Human Resources</v>
      </c>
    </row>
    <row r="278" spans="1:8" x14ac:dyDescent="0.35">
      <c r="A278" s="2" t="s">
        <v>80</v>
      </c>
      <c r="B278" s="3">
        <v>46262</v>
      </c>
      <c r="C278" s="2" t="s">
        <v>247</v>
      </c>
      <c r="D278" s="2" t="s">
        <v>37</v>
      </c>
      <c r="E278" t="str">
        <f>IF(OR(A278="", B278=""), "Check missing data", IF(COUNTIFS($A$2:A278, A278, $B$2:B278, B278)&gt;1, "Possible Duplicate", "First Occurrence"))</f>
        <v>First Occurrence</v>
      </c>
      <c r="F278" t="str">
        <f t="shared" si="8"/>
        <v>Late</v>
      </c>
      <c r="H278" t="str">
        <f t="shared" si="9"/>
        <v>Customer Support</v>
      </c>
    </row>
    <row r="279" spans="1:8" x14ac:dyDescent="0.35">
      <c r="A279" s="2" t="s">
        <v>80</v>
      </c>
      <c r="B279" s="3">
        <v>46245</v>
      </c>
      <c r="C279" s="2" t="s">
        <v>30</v>
      </c>
      <c r="D279" s="2" t="s">
        <v>37</v>
      </c>
      <c r="E279" t="str">
        <f>IF(OR(A279="", B279=""), "Check missing data", IF(COUNTIFS($A$2:A279, A279, $B$2:B279, B279)&gt;1, "Possible Duplicate", "First Occurrence"))</f>
        <v>First Occurrence</v>
      </c>
      <c r="F279" t="str">
        <f t="shared" si="8"/>
        <v>On Leave</v>
      </c>
      <c r="H279" t="str">
        <f t="shared" si="9"/>
        <v>Customer Support</v>
      </c>
    </row>
    <row r="280" spans="1:8" x14ac:dyDescent="0.35">
      <c r="A280" s="2" t="s">
        <v>80</v>
      </c>
      <c r="B280" s="3">
        <v>46244</v>
      </c>
      <c r="C280" s="2" t="s">
        <v>245</v>
      </c>
      <c r="D280" s="2" t="s">
        <v>37</v>
      </c>
      <c r="E280" t="str">
        <f>IF(OR(A280="", B280=""), "Check missing data", IF(COUNTIFS($A$2:A280, A280, $B$2:B280, B280)&gt;1, "Possible Duplicate", "First Occurrence"))</f>
        <v>First Occurrence</v>
      </c>
      <c r="F280" t="str">
        <f t="shared" si="8"/>
        <v>Absent</v>
      </c>
      <c r="H280" t="str">
        <f t="shared" si="9"/>
        <v>Customer Support</v>
      </c>
    </row>
    <row r="281" spans="1:8" x14ac:dyDescent="0.35">
      <c r="A281" s="2" t="s">
        <v>80</v>
      </c>
      <c r="B281" s="3">
        <v>46231</v>
      </c>
      <c r="C281" s="2" t="s">
        <v>247</v>
      </c>
      <c r="D281" s="2" t="s">
        <v>37</v>
      </c>
      <c r="E281" t="str">
        <f>IF(OR(A281="", B281=""), "Check missing data", IF(COUNTIFS($A$2:A281, A281, $B$2:B281, B281)&gt;1, "Possible Duplicate", "First Occurrence"))</f>
        <v>First Occurrence</v>
      </c>
      <c r="F281" t="str">
        <f t="shared" si="8"/>
        <v>Late</v>
      </c>
      <c r="H281" t="str">
        <f t="shared" si="9"/>
        <v>Customer Support</v>
      </c>
    </row>
    <row r="282" spans="1:8" x14ac:dyDescent="0.35">
      <c r="A282" s="2" t="s">
        <v>80</v>
      </c>
      <c r="B282" s="3">
        <v>46219</v>
      </c>
      <c r="C282" s="2" t="s">
        <v>246</v>
      </c>
      <c r="D282" s="2" t="s">
        <v>37</v>
      </c>
      <c r="E282" t="str">
        <f>IF(OR(A282="", B282=""), "Check missing data", IF(COUNTIFS($A$2:A282, A282, $B$2:B282, B282)&gt;1, "Possible Duplicate", "First Occurrence"))</f>
        <v>First Occurrence</v>
      </c>
      <c r="F282" t="str">
        <f t="shared" si="8"/>
        <v>Present</v>
      </c>
      <c r="H282" t="str">
        <f t="shared" si="9"/>
        <v>Customer Support</v>
      </c>
    </row>
    <row r="283" spans="1:8" x14ac:dyDescent="0.35">
      <c r="A283" s="2" t="s">
        <v>80</v>
      </c>
      <c r="B283" s="3">
        <v>46247</v>
      </c>
      <c r="C283" s="2" t="s">
        <v>245</v>
      </c>
      <c r="D283" s="2" t="s">
        <v>37</v>
      </c>
      <c r="E283" t="str">
        <f>IF(OR(A283="", B283=""), "Check missing data", IF(COUNTIFS($A$2:A283, A283, $B$2:B283, B283)&gt;1, "Possible Duplicate", "First Occurrence"))</f>
        <v>First Occurrence</v>
      </c>
      <c r="F283" t="str">
        <f t="shared" si="8"/>
        <v>Absent</v>
      </c>
      <c r="H283" t="str">
        <f t="shared" si="9"/>
        <v>Customer Support</v>
      </c>
    </row>
    <row r="284" spans="1:8" x14ac:dyDescent="0.35">
      <c r="A284" s="2" t="s">
        <v>80</v>
      </c>
      <c r="B284" s="3">
        <v>46241</v>
      </c>
      <c r="C284" s="2" t="s">
        <v>246</v>
      </c>
      <c r="D284" s="2" t="s">
        <v>37</v>
      </c>
      <c r="E284" t="str">
        <f>IF(OR(A284="", B284=""), "Check missing data", IF(COUNTIFS($A$2:A284, A284, $B$2:B284, B284)&gt;1, "Possible Duplicate", "First Occurrence"))</f>
        <v>First Occurrence</v>
      </c>
      <c r="F284" t="str">
        <f t="shared" si="8"/>
        <v>Present</v>
      </c>
      <c r="H284" t="str">
        <f t="shared" si="9"/>
        <v>Customer Support</v>
      </c>
    </row>
    <row r="285" spans="1:8" x14ac:dyDescent="0.35">
      <c r="A285" s="2" t="s">
        <v>80</v>
      </c>
      <c r="B285" s="3">
        <v>46276</v>
      </c>
      <c r="C285" s="2" t="s">
        <v>246</v>
      </c>
      <c r="D285" s="2" t="s">
        <v>37</v>
      </c>
      <c r="E285" t="str">
        <f>IF(OR(A285="", B285=""), "Check missing data", IF(COUNTIFS($A$2:A285, A285, $B$2:B285, B285)&gt;1, "Possible Duplicate", "First Occurrence"))</f>
        <v>First Occurrence</v>
      </c>
      <c r="F285" t="str">
        <f t="shared" si="8"/>
        <v>Present</v>
      </c>
      <c r="H285" t="str">
        <f t="shared" si="9"/>
        <v>Customer Support</v>
      </c>
    </row>
    <row r="286" spans="1:8" x14ac:dyDescent="0.35">
      <c r="A286" s="2" t="s">
        <v>80</v>
      </c>
      <c r="B286" s="3">
        <v>46281</v>
      </c>
      <c r="C286" s="2" t="s">
        <v>246</v>
      </c>
      <c r="D286" s="2" t="s">
        <v>37</v>
      </c>
      <c r="E286" t="str">
        <f>IF(OR(A286="", B286=""), "Check missing data", IF(COUNTIFS($A$2:A286, A286, $B$2:B286, B286)&gt;1, "Possible Duplicate", "First Occurrence"))</f>
        <v>First Occurrence</v>
      </c>
      <c r="F286" t="str">
        <f t="shared" si="8"/>
        <v>Present</v>
      </c>
      <c r="H286" t="str">
        <f t="shared" si="9"/>
        <v>Customer Support</v>
      </c>
    </row>
    <row r="287" spans="1:8" x14ac:dyDescent="0.35">
      <c r="A287" s="2" t="s">
        <v>80</v>
      </c>
      <c r="B287" s="3">
        <v>46246</v>
      </c>
      <c r="C287" s="2" t="s">
        <v>246</v>
      </c>
      <c r="D287" s="2" t="s">
        <v>37</v>
      </c>
      <c r="E287" t="str">
        <f>IF(OR(A287="", B287=""), "Check missing data", IF(COUNTIFS($A$2:A287, A287, $B$2:B287, B287)&gt;1, "Possible Duplicate", "First Occurrence"))</f>
        <v>First Occurrence</v>
      </c>
      <c r="F287" t="str">
        <f t="shared" si="8"/>
        <v>Present</v>
      </c>
      <c r="H287" t="str">
        <f t="shared" si="9"/>
        <v>Customer Support</v>
      </c>
    </row>
    <row r="288" spans="1:8" x14ac:dyDescent="0.35">
      <c r="A288" s="2" t="s">
        <v>80</v>
      </c>
      <c r="B288" s="3">
        <v>46204</v>
      </c>
      <c r="C288" s="2" t="s">
        <v>30</v>
      </c>
      <c r="D288" s="2" t="s">
        <v>37</v>
      </c>
      <c r="E288" t="str">
        <f>IF(OR(A288="", B288=""), "Check missing data", IF(COUNTIFS($A$2:A288, A288, $B$2:B288, B288)&gt;1, "Possible Duplicate", "First Occurrence"))</f>
        <v>First Occurrence</v>
      </c>
      <c r="F288" t="str">
        <f t="shared" si="8"/>
        <v>On Leave</v>
      </c>
      <c r="H288" t="str">
        <f t="shared" si="9"/>
        <v>Customer Support</v>
      </c>
    </row>
    <row r="289" spans="1:8" x14ac:dyDescent="0.35">
      <c r="A289" s="2" t="s">
        <v>80</v>
      </c>
      <c r="B289" s="3">
        <v>46234</v>
      </c>
      <c r="C289" s="2" t="s">
        <v>246</v>
      </c>
      <c r="D289" s="2" t="s">
        <v>37</v>
      </c>
      <c r="E289" t="str">
        <f>IF(OR(A289="", B289=""), "Check missing data", IF(COUNTIFS($A$2:A289, A289, $B$2:B289, B289)&gt;1, "Possible Duplicate", "First Occurrence"))</f>
        <v>First Occurrence</v>
      </c>
      <c r="F289" t="str">
        <f t="shared" si="8"/>
        <v>Present</v>
      </c>
      <c r="H289" t="str">
        <f t="shared" si="9"/>
        <v>Customer Support</v>
      </c>
    </row>
    <row r="290" spans="1:8" x14ac:dyDescent="0.35">
      <c r="A290" s="2" t="s">
        <v>83</v>
      </c>
      <c r="B290" s="3">
        <v>46283</v>
      </c>
      <c r="C290" s="2" t="s">
        <v>30</v>
      </c>
      <c r="D290" s="2" t="s">
        <v>33</v>
      </c>
      <c r="E290" t="str">
        <f>IF(OR(A290="", B290=""), "Check missing data", IF(COUNTIFS($A$2:A290, A290, $B$2:B290, B290)&gt;1, "Possible Duplicate", "First Occurrence"))</f>
        <v>First Occurrence</v>
      </c>
      <c r="F290" t="str">
        <f t="shared" si="8"/>
        <v>On Leave</v>
      </c>
      <c r="H290" t="str">
        <f t="shared" si="9"/>
        <v>Sales</v>
      </c>
    </row>
    <row r="291" spans="1:8" x14ac:dyDescent="0.35">
      <c r="A291" s="2" t="s">
        <v>83</v>
      </c>
      <c r="B291" s="3">
        <v>46253</v>
      </c>
      <c r="C291" s="2" t="s">
        <v>30</v>
      </c>
      <c r="D291" s="2" t="s">
        <v>33</v>
      </c>
      <c r="E291" t="str">
        <f>IF(OR(A291="", B291=""), "Check missing data", IF(COUNTIFS($A$2:A291, A291, $B$2:B291, B291)&gt;1, "Possible Duplicate", "First Occurrence"))</f>
        <v>First Occurrence</v>
      </c>
      <c r="F291" t="str">
        <f t="shared" si="8"/>
        <v>On Leave</v>
      </c>
      <c r="H291" t="str">
        <f t="shared" si="9"/>
        <v>Sales</v>
      </c>
    </row>
    <row r="292" spans="1:8" x14ac:dyDescent="0.35">
      <c r="A292" s="2" t="s">
        <v>83</v>
      </c>
      <c r="B292" s="3">
        <v>46216</v>
      </c>
      <c r="C292" s="2" t="s">
        <v>246</v>
      </c>
      <c r="D292" s="2" t="s">
        <v>33</v>
      </c>
      <c r="E292" t="str">
        <f>IF(OR(A292="", B292=""), "Check missing data", IF(COUNTIFS($A$2:A292, A292, $B$2:B292, B292)&gt;1, "Possible Duplicate", "First Occurrence"))</f>
        <v>First Occurrence</v>
      </c>
      <c r="F292" t="str">
        <f t="shared" si="8"/>
        <v>Present</v>
      </c>
      <c r="H292" t="str">
        <f t="shared" si="9"/>
        <v>Sales</v>
      </c>
    </row>
    <row r="293" spans="1:8" x14ac:dyDescent="0.35">
      <c r="A293" s="2" t="s">
        <v>83</v>
      </c>
      <c r="B293" s="3">
        <v>46266</v>
      </c>
      <c r="C293" s="2" t="s">
        <v>246</v>
      </c>
      <c r="D293" s="2" t="s">
        <v>33</v>
      </c>
      <c r="E293" t="str">
        <f>IF(OR(A293="", B293=""), "Check missing data", IF(COUNTIFS($A$2:A293, A293, $B$2:B293, B293)&gt;1, "Possible Duplicate", "First Occurrence"))</f>
        <v>First Occurrence</v>
      </c>
      <c r="F293" t="str">
        <f t="shared" si="8"/>
        <v>Present</v>
      </c>
      <c r="H293" t="str">
        <f t="shared" si="9"/>
        <v>Sales</v>
      </c>
    </row>
    <row r="294" spans="1:8" x14ac:dyDescent="0.35">
      <c r="A294" s="2" t="s">
        <v>83</v>
      </c>
      <c r="B294" s="3">
        <v>46286</v>
      </c>
      <c r="C294" s="2" t="s">
        <v>247</v>
      </c>
      <c r="D294" s="2" t="s">
        <v>33</v>
      </c>
      <c r="E294" t="str">
        <f>IF(OR(A294="", B294=""), "Check missing data", IF(COUNTIFS($A$2:A294, A294, $B$2:B294, B294)&gt;1, "Possible Duplicate", "First Occurrence"))</f>
        <v>First Occurrence</v>
      </c>
      <c r="F294" t="str">
        <f t="shared" si="8"/>
        <v>Late</v>
      </c>
      <c r="H294" t="str">
        <f t="shared" si="9"/>
        <v>Sales</v>
      </c>
    </row>
    <row r="295" spans="1:8" x14ac:dyDescent="0.35">
      <c r="A295" s="2" t="s">
        <v>83</v>
      </c>
      <c r="B295" s="3">
        <v>46204</v>
      </c>
      <c r="C295" s="2" t="s">
        <v>245</v>
      </c>
      <c r="D295" s="2" t="s">
        <v>33</v>
      </c>
      <c r="E295" t="str">
        <f>IF(OR(A295="", B295=""), "Check missing data", IF(COUNTIFS($A$2:A295, A295, $B$2:B295, B295)&gt;1, "Possible Duplicate", "First Occurrence"))</f>
        <v>First Occurrence</v>
      </c>
      <c r="F295" t="str">
        <f t="shared" si="8"/>
        <v>Absent</v>
      </c>
      <c r="H295" t="str">
        <f t="shared" si="9"/>
        <v>Sales</v>
      </c>
    </row>
    <row r="296" spans="1:8" x14ac:dyDescent="0.35">
      <c r="A296" s="2" t="s">
        <v>83</v>
      </c>
      <c r="B296" s="3">
        <v>46218</v>
      </c>
      <c r="C296" s="2" t="s">
        <v>30</v>
      </c>
      <c r="D296" s="2" t="s">
        <v>33</v>
      </c>
      <c r="E296" t="str">
        <f>IF(OR(A296="", B296=""), "Check missing data", IF(COUNTIFS($A$2:A296, A296, $B$2:B296, B296)&gt;1, "Possible Duplicate", "First Occurrence"))</f>
        <v>First Occurrence</v>
      </c>
      <c r="F296" t="str">
        <f t="shared" si="8"/>
        <v>On Leave</v>
      </c>
      <c r="H296" t="str">
        <f t="shared" si="9"/>
        <v>Sales</v>
      </c>
    </row>
    <row r="297" spans="1:8" x14ac:dyDescent="0.35">
      <c r="A297" s="2" t="s">
        <v>83</v>
      </c>
      <c r="B297" s="3">
        <v>46209</v>
      </c>
      <c r="C297" s="2" t="s">
        <v>245</v>
      </c>
      <c r="D297" s="2" t="s">
        <v>33</v>
      </c>
      <c r="E297" t="str">
        <f>IF(OR(A297="", B297=""), "Check missing data", IF(COUNTIFS($A$2:A297, A297, $B$2:B297, B297)&gt;1, "Possible Duplicate", "First Occurrence"))</f>
        <v>First Occurrence</v>
      </c>
      <c r="F297" t="str">
        <f t="shared" si="8"/>
        <v>Absent</v>
      </c>
      <c r="H297" t="str">
        <f t="shared" si="9"/>
        <v>Sales</v>
      </c>
    </row>
    <row r="298" spans="1:8" x14ac:dyDescent="0.35">
      <c r="A298" s="2" t="s">
        <v>83</v>
      </c>
      <c r="B298" s="3">
        <v>46260</v>
      </c>
      <c r="C298" s="2" t="s">
        <v>246</v>
      </c>
      <c r="D298" s="2" t="s">
        <v>33</v>
      </c>
      <c r="E298" t="str">
        <f>IF(OR(A298="", B298=""), "Check missing data", IF(COUNTIFS($A$2:A298, A298, $B$2:B298, B298)&gt;1, "Possible Duplicate", "First Occurrence"))</f>
        <v>First Occurrence</v>
      </c>
      <c r="F298" t="str">
        <f t="shared" si="8"/>
        <v>Present</v>
      </c>
      <c r="H298" t="str">
        <f t="shared" si="9"/>
        <v>Sales</v>
      </c>
    </row>
    <row r="299" spans="1:8" x14ac:dyDescent="0.35">
      <c r="A299" s="2" t="s">
        <v>83</v>
      </c>
      <c r="B299" s="3">
        <v>46269</v>
      </c>
      <c r="C299" s="2" t="s">
        <v>247</v>
      </c>
      <c r="D299" s="2" t="s">
        <v>33</v>
      </c>
      <c r="E299" t="str">
        <f>IF(OR(A299="", B299=""), "Check missing data", IF(COUNTIFS($A$2:A299, A299, $B$2:B299, B299)&gt;1, "Possible Duplicate", "First Occurrence"))</f>
        <v>First Occurrence</v>
      </c>
      <c r="F299" t="str">
        <f t="shared" si="8"/>
        <v>Late</v>
      </c>
      <c r="H299" t="str">
        <f t="shared" si="9"/>
        <v>Sales</v>
      </c>
    </row>
    <row r="300" spans="1:8" x14ac:dyDescent="0.35">
      <c r="A300" s="2" t="s">
        <v>83</v>
      </c>
      <c r="B300" s="3">
        <v>46230</v>
      </c>
      <c r="C300" s="2" t="s">
        <v>30</v>
      </c>
      <c r="D300" s="2" t="s">
        <v>33</v>
      </c>
      <c r="E300" t="str">
        <f>IF(OR(A300="", B300=""), "Check missing data", IF(COUNTIFS($A$2:A300, A300, $B$2:B300, B300)&gt;1, "Possible Duplicate", "First Occurrence"))</f>
        <v>First Occurrence</v>
      </c>
      <c r="F300" t="str">
        <f t="shared" si="8"/>
        <v>On Leave</v>
      </c>
      <c r="H300" t="str">
        <f t="shared" si="9"/>
        <v>Sales</v>
      </c>
    </row>
    <row r="301" spans="1:8" x14ac:dyDescent="0.35">
      <c r="A301" s="2" t="s">
        <v>83</v>
      </c>
      <c r="B301" s="3">
        <v>46227</v>
      </c>
      <c r="C301" s="2" t="s">
        <v>245</v>
      </c>
      <c r="D301" s="2" t="s">
        <v>33</v>
      </c>
      <c r="E301" t="str">
        <f>IF(OR(A301="", B301=""), "Check missing data", IF(COUNTIFS($A$2:A301, A301, $B$2:B301, B301)&gt;1, "Possible Duplicate", "First Occurrence"))</f>
        <v>First Occurrence</v>
      </c>
      <c r="F301" t="str">
        <f t="shared" si="8"/>
        <v>Absent</v>
      </c>
      <c r="H301" t="str">
        <f t="shared" si="9"/>
        <v>Sales</v>
      </c>
    </row>
    <row r="302" spans="1:8" x14ac:dyDescent="0.35">
      <c r="A302" s="2" t="s">
        <v>85</v>
      </c>
      <c r="B302" s="3">
        <v>46287</v>
      </c>
      <c r="C302" s="2" t="s">
        <v>247</v>
      </c>
      <c r="D302" s="2" t="s">
        <v>33</v>
      </c>
      <c r="E302" t="str">
        <f>IF(OR(A302="", B302=""), "Check missing data", IF(COUNTIFS($A$2:A302, A302, $B$2:B302, B302)&gt;1, "Possible Duplicate", "First Occurrence"))</f>
        <v>First Occurrence</v>
      </c>
      <c r="F302" t="str">
        <f t="shared" si="8"/>
        <v>Late</v>
      </c>
      <c r="H302" t="str">
        <f t="shared" si="9"/>
        <v>Sales</v>
      </c>
    </row>
    <row r="303" spans="1:8" x14ac:dyDescent="0.35">
      <c r="A303" s="2" t="s">
        <v>85</v>
      </c>
      <c r="B303" s="3">
        <v>46273</v>
      </c>
      <c r="C303" s="2" t="s">
        <v>246</v>
      </c>
      <c r="D303" s="2" t="s">
        <v>33</v>
      </c>
      <c r="E303" t="str">
        <f>IF(OR(A303="", B303=""), "Check missing data", IF(COUNTIFS($A$2:A303, A303, $B$2:B303, B303)&gt;1, "Possible Duplicate", "First Occurrence"))</f>
        <v>First Occurrence</v>
      </c>
      <c r="F303" t="str">
        <f t="shared" si="8"/>
        <v>Present</v>
      </c>
      <c r="H303" t="str">
        <f t="shared" si="9"/>
        <v>Sales</v>
      </c>
    </row>
    <row r="304" spans="1:8" x14ac:dyDescent="0.35">
      <c r="A304" s="2" t="s">
        <v>85</v>
      </c>
      <c r="B304" s="3">
        <v>46241</v>
      </c>
      <c r="C304" s="2" t="s">
        <v>245</v>
      </c>
      <c r="D304" s="2" t="s">
        <v>33</v>
      </c>
      <c r="E304" t="str">
        <f>IF(OR(A304="", B304=""), "Check missing data", IF(COUNTIFS($A$2:A304, A304, $B$2:B304, B304)&gt;1, "Possible Duplicate", "First Occurrence"))</f>
        <v>First Occurrence</v>
      </c>
      <c r="F304" t="str">
        <f t="shared" si="8"/>
        <v>Absent</v>
      </c>
      <c r="H304" t="str">
        <f t="shared" si="9"/>
        <v>Sales</v>
      </c>
    </row>
    <row r="305" spans="1:8" x14ac:dyDescent="0.35">
      <c r="A305" s="2" t="s">
        <v>85</v>
      </c>
      <c r="B305" s="3">
        <v>46248</v>
      </c>
      <c r="C305" s="2" t="s">
        <v>246</v>
      </c>
      <c r="D305" s="2" t="s">
        <v>33</v>
      </c>
      <c r="E305" t="str">
        <f>IF(OR(A305="", B305=""), "Check missing data", IF(COUNTIFS($A$2:A305, A305, $B$2:B305, B305)&gt;1, "Possible Duplicate", "First Occurrence"))</f>
        <v>First Occurrence</v>
      </c>
      <c r="F305" t="str">
        <f t="shared" si="8"/>
        <v>Present</v>
      </c>
      <c r="H305" t="str">
        <f t="shared" si="9"/>
        <v>Sales</v>
      </c>
    </row>
    <row r="306" spans="1:8" x14ac:dyDescent="0.35">
      <c r="A306" s="2" t="s">
        <v>85</v>
      </c>
      <c r="B306" s="3">
        <v>46210</v>
      </c>
      <c r="C306" s="2" t="s">
        <v>245</v>
      </c>
      <c r="D306" s="2" t="s">
        <v>33</v>
      </c>
      <c r="E306" t="str">
        <f>IF(OR(A306="", B306=""), "Check missing data", IF(COUNTIFS($A$2:A306, A306, $B$2:B306, B306)&gt;1, "Possible Duplicate", "First Occurrence"))</f>
        <v>First Occurrence</v>
      </c>
      <c r="F306" t="str">
        <f t="shared" si="8"/>
        <v>Absent</v>
      </c>
      <c r="H306" t="str">
        <f t="shared" si="9"/>
        <v>Sales</v>
      </c>
    </row>
    <row r="307" spans="1:8" x14ac:dyDescent="0.35">
      <c r="A307" s="2" t="s">
        <v>85</v>
      </c>
      <c r="B307" s="3">
        <v>46213</v>
      </c>
      <c r="C307" s="2" t="s">
        <v>247</v>
      </c>
      <c r="D307" s="2" t="s">
        <v>33</v>
      </c>
      <c r="E307" t="str">
        <f>IF(OR(A307="", B307=""), "Check missing data", IF(COUNTIFS($A$2:A307, A307, $B$2:B307, B307)&gt;1, "Possible Duplicate", "First Occurrence"))</f>
        <v>First Occurrence</v>
      </c>
      <c r="F307" t="str">
        <f t="shared" si="8"/>
        <v>Late</v>
      </c>
      <c r="H307" t="str">
        <f t="shared" si="9"/>
        <v>Sales</v>
      </c>
    </row>
    <row r="308" spans="1:8" x14ac:dyDescent="0.35">
      <c r="A308" s="2" t="s">
        <v>85</v>
      </c>
      <c r="B308" s="3">
        <v>46266</v>
      </c>
      <c r="C308" s="2" t="s">
        <v>245</v>
      </c>
      <c r="D308" s="2" t="s">
        <v>33</v>
      </c>
      <c r="E308" t="str">
        <f>IF(OR(A308="", B308=""), "Check missing data", IF(COUNTIFS($A$2:A308, A308, $B$2:B308, B308)&gt;1, "Possible Duplicate", "First Occurrence"))</f>
        <v>First Occurrence</v>
      </c>
      <c r="F308" t="str">
        <f t="shared" si="8"/>
        <v>Absent</v>
      </c>
      <c r="H308" t="str">
        <f t="shared" si="9"/>
        <v>Sales</v>
      </c>
    </row>
    <row r="309" spans="1:8" x14ac:dyDescent="0.35">
      <c r="A309" s="2" t="s">
        <v>85</v>
      </c>
      <c r="B309" s="3">
        <v>46220</v>
      </c>
      <c r="C309" s="2" t="s">
        <v>245</v>
      </c>
      <c r="D309" s="2" t="s">
        <v>33</v>
      </c>
      <c r="E309" t="str">
        <f>IF(OR(A309="", B309=""), "Check missing data", IF(COUNTIFS($A$2:A309, A309, $B$2:B309, B309)&gt;1, "Possible Duplicate", "First Occurrence"))</f>
        <v>First Occurrence</v>
      </c>
      <c r="F309" t="str">
        <f t="shared" si="8"/>
        <v>Absent</v>
      </c>
      <c r="H309" t="str">
        <f t="shared" si="9"/>
        <v>Sales</v>
      </c>
    </row>
    <row r="310" spans="1:8" x14ac:dyDescent="0.35">
      <c r="A310" s="2" t="s">
        <v>85</v>
      </c>
      <c r="B310" s="3">
        <v>46230</v>
      </c>
      <c r="C310" s="2" t="s">
        <v>245</v>
      </c>
      <c r="D310" s="2" t="s">
        <v>33</v>
      </c>
      <c r="E310" t="str">
        <f>IF(OR(A310="", B310=""), "Check missing data", IF(COUNTIFS($A$2:A310, A310, $B$2:B310, B310)&gt;1, "Possible Duplicate", "First Occurrence"))</f>
        <v>First Occurrence</v>
      </c>
      <c r="F310" t="str">
        <f t="shared" si="8"/>
        <v>Absent</v>
      </c>
      <c r="H310" t="str">
        <f t="shared" si="9"/>
        <v>Sales</v>
      </c>
    </row>
    <row r="311" spans="1:8" x14ac:dyDescent="0.35">
      <c r="A311" s="2" t="s">
        <v>85</v>
      </c>
      <c r="B311" s="3">
        <v>46258</v>
      </c>
      <c r="C311" s="2" t="s">
        <v>247</v>
      </c>
      <c r="D311" s="2" t="s">
        <v>33</v>
      </c>
      <c r="E311" t="str">
        <f>IF(OR(A311="", B311=""), "Check missing data", IF(COUNTIFS($A$2:A311, A311, $B$2:B311, B311)&gt;1, "Possible Duplicate", "First Occurrence"))</f>
        <v>First Occurrence</v>
      </c>
      <c r="F311" t="str">
        <f t="shared" si="8"/>
        <v>Late</v>
      </c>
      <c r="H311" t="str">
        <f t="shared" si="9"/>
        <v>Sales</v>
      </c>
    </row>
    <row r="312" spans="1:8" x14ac:dyDescent="0.35">
      <c r="A312" s="2" t="s">
        <v>85</v>
      </c>
      <c r="B312" s="3">
        <v>46251</v>
      </c>
      <c r="C312" s="2" t="s">
        <v>30</v>
      </c>
      <c r="D312" s="2" t="s">
        <v>33</v>
      </c>
      <c r="E312" t="str">
        <f>IF(OR(A312="", B312=""), "Check missing data", IF(COUNTIFS($A$2:A312, A312, $B$2:B312, B312)&gt;1, "Possible Duplicate", "First Occurrence"))</f>
        <v>First Occurrence</v>
      </c>
      <c r="F312" t="str">
        <f t="shared" si="8"/>
        <v>On Leave</v>
      </c>
      <c r="H312" t="str">
        <f t="shared" si="9"/>
        <v>Sales</v>
      </c>
    </row>
    <row r="313" spans="1:8" x14ac:dyDescent="0.35">
      <c r="A313" s="2" t="s">
        <v>85</v>
      </c>
      <c r="B313" s="3">
        <v>46253</v>
      </c>
      <c r="C313" s="2" t="s">
        <v>245</v>
      </c>
      <c r="D313" s="2" t="s">
        <v>33</v>
      </c>
      <c r="E313" t="str">
        <f>IF(OR(A313="", B313=""), "Check missing data", IF(COUNTIFS($A$2:A313, A313, $B$2:B313, B313)&gt;1, "Possible Duplicate", "First Occurrence"))</f>
        <v>First Occurrence</v>
      </c>
      <c r="F313" t="str">
        <f t="shared" si="8"/>
        <v>Absent</v>
      </c>
      <c r="H313" t="str">
        <f t="shared" si="9"/>
        <v>Sales</v>
      </c>
    </row>
    <row r="314" spans="1:8" x14ac:dyDescent="0.35">
      <c r="A314" s="2" t="s">
        <v>88</v>
      </c>
      <c r="B314" s="3">
        <v>46204</v>
      </c>
      <c r="C314" s="2" t="s">
        <v>247</v>
      </c>
      <c r="D314" s="2" t="s">
        <v>37</v>
      </c>
      <c r="E314" t="str">
        <f>IF(OR(A314="", B314=""), "Check missing data", IF(COUNTIFS($A$2:A314, A314, $B$2:B314, B314)&gt;1, "Possible Duplicate", "First Occurrence"))</f>
        <v>First Occurrence</v>
      </c>
      <c r="F314" t="str">
        <f t="shared" si="8"/>
        <v>Late</v>
      </c>
      <c r="H314" t="str">
        <f t="shared" si="9"/>
        <v>Customer Support</v>
      </c>
    </row>
    <row r="315" spans="1:8" x14ac:dyDescent="0.35">
      <c r="A315" s="2" t="s">
        <v>88</v>
      </c>
      <c r="B315" s="3">
        <v>46237</v>
      </c>
      <c r="C315" s="2" t="s">
        <v>246</v>
      </c>
      <c r="D315" s="2" t="s">
        <v>37</v>
      </c>
      <c r="E315" t="str">
        <f>IF(OR(A315="", B315=""), "Check missing data", IF(COUNTIFS($A$2:A315, A315, $B$2:B315, B315)&gt;1, "Possible Duplicate", "First Occurrence"))</f>
        <v>First Occurrence</v>
      </c>
      <c r="F315" t="str">
        <f t="shared" si="8"/>
        <v>Present</v>
      </c>
      <c r="H315" t="str">
        <f t="shared" si="9"/>
        <v>Customer Support</v>
      </c>
    </row>
    <row r="316" spans="1:8" x14ac:dyDescent="0.35">
      <c r="A316" s="2" t="s">
        <v>88</v>
      </c>
      <c r="B316" s="3">
        <v>46269</v>
      </c>
      <c r="C316" s="2" t="s">
        <v>247</v>
      </c>
      <c r="D316" s="2" t="s">
        <v>37</v>
      </c>
      <c r="E316" t="str">
        <f>IF(OR(A316="", B316=""), "Check missing data", IF(COUNTIFS($A$2:A316, A316, $B$2:B316, B316)&gt;1, "Possible Duplicate", "First Occurrence"))</f>
        <v>First Occurrence</v>
      </c>
      <c r="F316" t="str">
        <f t="shared" si="8"/>
        <v>Late</v>
      </c>
      <c r="H316" t="str">
        <f t="shared" si="9"/>
        <v>Customer Support</v>
      </c>
    </row>
    <row r="317" spans="1:8" x14ac:dyDescent="0.35">
      <c r="A317" s="2" t="s">
        <v>88</v>
      </c>
      <c r="B317" s="3">
        <v>46294</v>
      </c>
      <c r="C317" s="2" t="s">
        <v>247</v>
      </c>
      <c r="D317" s="2" t="s">
        <v>37</v>
      </c>
      <c r="E317" t="str">
        <f>IF(OR(A317="", B317=""), "Check missing data", IF(COUNTIFS($A$2:A317, A317, $B$2:B317, B317)&gt;1, "Possible Duplicate", "First Occurrence"))</f>
        <v>First Occurrence</v>
      </c>
      <c r="F317" t="str">
        <f t="shared" si="8"/>
        <v>Late</v>
      </c>
      <c r="H317" t="str">
        <f t="shared" si="9"/>
        <v>Customer Support</v>
      </c>
    </row>
    <row r="318" spans="1:8" x14ac:dyDescent="0.35">
      <c r="A318" s="2" t="s">
        <v>88</v>
      </c>
      <c r="B318" s="3">
        <v>46280</v>
      </c>
      <c r="C318" s="2" t="s">
        <v>246</v>
      </c>
      <c r="D318" s="2" t="s">
        <v>37</v>
      </c>
      <c r="E318" t="str">
        <f>IF(OR(A318="", B318=""), "Check missing data", IF(COUNTIFS($A$2:A318, A318, $B$2:B318, B318)&gt;1, "Possible Duplicate", "First Occurrence"))</f>
        <v>First Occurrence</v>
      </c>
      <c r="F318" t="str">
        <f t="shared" si="8"/>
        <v>Present</v>
      </c>
      <c r="H318" t="str">
        <f t="shared" si="9"/>
        <v>Customer Support</v>
      </c>
    </row>
    <row r="319" spans="1:8" x14ac:dyDescent="0.35">
      <c r="A319" s="2" t="s">
        <v>88</v>
      </c>
      <c r="B319" s="3">
        <v>46258</v>
      </c>
      <c r="C319" s="2" t="s">
        <v>246</v>
      </c>
      <c r="D319" s="2" t="s">
        <v>37</v>
      </c>
      <c r="E319" t="str">
        <f>IF(OR(A319="", B319=""), "Check missing data", IF(COUNTIFS($A$2:A319, A319, $B$2:B319, B319)&gt;1, "Possible Duplicate", "First Occurrence"))</f>
        <v>First Occurrence</v>
      </c>
      <c r="F319" t="str">
        <f t="shared" si="8"/>
        <v>Present</v>
      </c>
      <c r="H319" t="str">
        <f t="shared" si="9"/>
        <v>Customer Support</v>
      </c>
    </row>
    <row r="320" spans="1:8" x14ac:dyDescent="0.35">
      <c r="A320" s="2" t="s">
        <v>88</v>
      </c>
      <c r="B320" s="3">
        <v>46245</v>
      </c>
      <c r="C320" s="2" t="s">
        <v>247</v>
      </c>
      <c r="D320" s="2" t="s">
        <v>37</v>
      </c>
      <c r="E320" t="str">
        <f>IF(OR(A320="", B320=""), "Check missing data", IF(COUNTIFS($A$2:A320, A320, $B$2:B320, B320)&gt;1, "Possible Duplicate", "First Occurrence"))</f>
        <v>First Occurrence</v>
      </c>
      <c r="F320" t="str">
        <f t="shared" si="8"/>
        <v>Late</v>
      </c>
      <c r="H320" t="str">
        <f t="shared" si="9"/>
        <v>Customer Support</v>
      </c>
    </row>
    <row r="321" spans="1:8" x14ac:dyDescent="0.35">
      <c r="A321" s="2" t="s">
        <v>88</v>
      </c>
      <c r="B321" s="3">
        <v>46288</v>
      </c>
      <c r="C321" s="2" t="s">
        <v>247</v>
      </c>
      <c r="D321" s="2" t="s">
        <v>37</v>
      </c>
      <c r="E321" t="str">
        <f>IF(OR(A321="", B321=""), "Check missing data", IF(COUNTIFS($A$2:A321, A321, $B$2:B321, B321)&gt;1, "Possible Duplicate", "First Occurrence"))</f>
        <v>First Occurrence</v>
      </c>
      <c r="F321" t="str">
        <f t="shared" si="8"/>
        <v>Late</v>
      </c>
      <c r="H321" t="str">
        <f t="shared" si="9"/>
        <v>Customer Support</v>
      </c>
    </row>
    <row r="322" spans="1:8" x14ac:dyDescent="0.35">
      <c r="A322" s="2" t="s">
        <v>88</v>
      </c>
      <c r="B322" s="3">
        <v>46219</v>
      </c>
      <c r="C322" s="2" t="s">
        <v>247</v>
      </c>
      <c r="D322" s="2" t="s">
        <v>37</v>
      </c>
      <c r="E322" t="str">
        <f>IF(OR(A322="", B322=""), "Check missing data", IF(COUNTIFS($A$2:A322, A322, $B$2:B322, B322)&gt;1, "Possible Duplicate", "First Occurrence"))</f>
        <v>First Occurrence</v>
      </c>
      <c r="F322" t="str">
        <f t="shared" si="8"/>
        <v>Late</v>
      </c>
      <c r="H322" t="str">
        <f t="shared" si="9"/>
        <v>Customer Support</v>
      </c>
    </row>
    <row r="323" spans="1:8" x14ac:dyDescent="0.35">
      <c r="A323" s="2" t="s">
        <v>88</v>
      </c>
      <c r="B323" s="3">
        <v>46272</v>
      </c>
      <c r="C323" s="2" t="s">
        <v>246</v>
      </c>
      <c r="D323" s="2" t="s">
        <v>37</v>
      </c>
      <c r="E323" t="str">
        <f>IF(OR(A323="", B323=""), "Check missing data", IF(COUNTIFS($A$2:A323, A323, $B$2:B323, B323)&gt;1, "Possible Duplicate", "First Occurrence"))</f>
        <v>First Occurrence</v>
      </c>
      <c r="F323" t="str">
        <f t="shared" ref="F323:F386" si="10">PROPER(TRIM(C323))</f>
        <v>Present</v>
      </c>
      <c r="H323" t="str">
        <f t="shared" ref="H323:H386" si="11">TRIM(CLEAN(D323))</f>
        <v>Customer Support</v>
      </c>
    </row>
    <row r="324" spans="1:8" x14ac:dyDescent="0.35">
      <c r="A324" s="2" t="s">
        <v>88</v>
      </c>
      <c r="B324" s="3">
        <v>46260</v>
      </c>
      <c r="C324" s="2" t="s">
        <v>247</v>
      </c>
      <c r="D324" s="2" t="s">
        <v>37</v>
      </c>
      <c r="E324" t="str">
        <f>IF(OR(A324="", B324=""), "Check missing data", IF(COUNTIFS($A$2:A324, A324, $B$2:B324, B324)&gt;1, "Possible Duplicate", "First Occurrence"))</f>
        <v>First Occurrence</v>
      </c>
      <c r="F324" t="str">
        <f t="shared" si="10"/>
        <v>Late</v>
      </c>
      <c r="H324" t="str">
        <f t="shared" si="11"/>
        <v>Customer Support</v>
      </c>
    </row>
    <row r="325" spans="1:8" x14ac:dyDescent="0.35">
      <c r="A325" s="2" t="s">
        <v>88</v>
      </c>
      <c r="B325" s="3">
        <v>46267</v>
      </c>
      <c r="C325" s="2" t="s">
        <v>247</v>
      </c>
      <c r="D325" s="2" t="s">
        <v>37</v>
      </c>
      <c r="E325" t="str">
        <f>IF(OR(A325="", B325=""), "Check missing data", IF(COUNTIFS($A$2:A325, A325, $B$2:B325, B325)&gt;1, "Possible Duplicate", "First Occurrence"))</f>
        <v>First Occurrence</v>
      </c>
      <c r="F325" t="str">
        <f t="shared" si="10"/>
        <v>Late</v>
      </c>
      <c r="H325" t="str">
        <f t="shared" si="11"/>
        <v>Customer Support</v>
      </c>
    </row>
    <row r="326" spans="1:8" x14ac:dyDescent="0.35">
      <c r="A326" s="2" t="s">
        <v>91</v>
      </c>
      <c r="B326" s="3">
        <v>46211</v>
      </c>
      <c r="C326" s="2" t="s">
        <v>246</v>
      </c>
      <c r="D326" s="2" t="s">
        <v>17</v>
      </c>
      <c r="E326" t="str">
        <f>IF(OR(A326="", B326=""), "Check missing data", IF(COUNTIFS($A$2:A326, A326, $B$2:B326, B326)&gt;1, "Possible Duplicate", "First Occurrence"))</f>
        <v>First Occurrence</v>
      </c>
      <c r="F326" t="str">
        <f t="shared" si="10"/>
        <v>Present</v>
      </c>
      <c r="H326" t="str">
        <f t="shared" si="11"/>
        <v>Finance</v>
      </c>
    </row>
    <row r="327" spans="1:8" x14ac:dyDescent="0.35">
      <c r="A327" s="2" t="s">
        <v>91</v>
      </c>
      <c r="B327" s="3">
        <v>46294</v>
      </c>
      <c r="C327" s="2" t="s">
        <v>30</v>
      </c>
      <c r="D327" s="2" t="s">
        <v>17</v>
      </c>
      <c r="E327" t="str">
        <f>IF(OR(A327="", B327=""), "Check missing data", IF(COUNTIFS($A$2:A327, A327, $B$2:B327, B327)&gt;1, "Possible Duplicate", "First Occurrence"))</f>
        <v>First Occurrence</v>
      </c>
      <c r="F327" t="str">
        <f t="shared" si="10"/>
        <v>On Leave</v>
      </c>
      <c r="H327" t="str">
        <f t="shared" si="11"/>
        <v>Finance</v>
      </c>
    </row>
    <row r="328" spans="1:8" x14ac:dyDescent="0.35">
      <c r="A328" s="2" t="s">
        <v>91</v>
      </c>
      <c r="B328" s="3">
        <v>46279</v>
      </c>
      <c r="C328" s="2" t="s">
        <v>245</v>
      </c>
      <c r="D328" s="2" t="s">
        <v>17</v>
      </c>
      <c r="E328" t="str">
        <f>IF(OR(A328="", B328=""), "Check missing data", IF(COUNTIFS($A$2:A328, A328, $B$2:B328, B328)&gt;1, "Possible Duplicate", "First Occurrence"))</f>
        <v>First Occurrence</v>
      </c>
      <c r="F328" t="str">
        <f t="shared" si="10"/>
        <v>Absent</v>
      </c>
      <c r="H328" t="str">
        <f t="shared" si="11"/>
        <v>Finance</v>
      </c>
    </row>
    <row r="329" spans="1:8" x14ac:dyDescent="0.35">
      <c r="A329" s="2" t="s">
        <v>91</v>
      </c>
      <c r="B329" s="3">
        <v>46273</v>
      </c>
      <c r="C329" s="2" t="s">
        <v>246</v>
      </c>
      <c r="D329" s="2" t="s">
        <v>17</v>
      </c>
      <c r="E329" t="str">
        <f>IF(OR(A329="", B329=""), "Check missing data", IF(COUNTIFS($A$2:A329, A329, $B$2:B329, B329)&gt;1, "Possible Duplicate", "First Occurrence"))</f>
        <v>First Occurrence</v>
      </c>
      <c r="F329" t="str">
        <f t="shared" si="10"/>
        <v>Present</v>
      </c>
      <c r="H329" t="str">
        <f t="shared" si="11"/>
        <v>Finance</v>
      </c>
    </row>
    <row r="330" spans="1:8" x14ac:dyDescent="0.35">
      <c r="A330" s="2" t="s">
        <v>91</v>
      </c>
      <c r="B330" s="3">
        <v>46246</v>
      </c>
      <c r="C330" s="2" t="s">
        <v>245</v>
      </c>
      <c r="D330" s="2" t="s">
        <v>17</v>
      </c>
      <c r="E330" t="str">
        <f>IF(OR(A330="", B330=""), "Check missing data", IF(COUNTIFS($A$2:A330, A330, $B$2:B330, B330)&gt;1, "Possible Duplicate", "First Occurrence"))</f>
        <v>First Occurrence</v>
      </c>
      <c r="F330" t="str">
        <f t="shared" si="10"/>
        <v>Absent</v>
      </c>
      <c r="H330" t="str">
        <f t="shared" si="11"/>
        <v>Finance</v>
      </c>
    </row>
    <row r="331" spans="1:8" x14ac:dyDescent="0.35">
      <c r="A331" s="2" t="s">
        <v>91</v>
      </c>
      <c r="B331" s="3">
        <v>46281</v>
      </c>
      <c r="C331" s="2" t="s">
        <v>246</v>
      </c>
      <c r="D331" s="2" t="s">
        <v>17</v>
      </c>
      <c r="E331" t="str">
        <f>IF(OR(A331="", B331=""), "Check missing data", IF(COUNTIFS($A$2:A331, A331, $B$2:B331, B331)&gt;1, "Possible Duplicate", "First Occurrence"))</f>
        <v>First Occurrence</v>
      </c>
      <c r="F331" t="str">
        <f t="shared" si="10"/>
        <v>Present</v>
      </c>
      <c r="H331" t="str">
        <f t="shared" si="11"/>
        <v>Finance</v>
      </c>
    </row>
    <row r="332" spans="1:8" x14ac:dyDescent="0.35">
      <c r="A332" s="2" t="s">
        <v>91</v>
      </c>
      <c r="B332" s="3">
        <v>46206</v>
      </c>
      <c r="C332" s="2" t="s">
        <v>246</v>
      </c>
      <c r="D332" s="2" t="s">
        <v>17</v>
      </c>
      <c r="E332" t="str">
        <f>IF(OR(A332="", B332=""), "Check missing data", IF(COUNTIFS($A$2:A332, A332, $B$2:B332, B332)&gt;1, "Possible Duplicate", "First Occurrence"))</f>
        <v>First Occurrence</v>
      </c>
      <c r="F332" t="str">
        <f t="shared" si="10"/>
        <v>Present</v>
      </c>
      <c r="H332" t="str">
        <f t="shared" si="11"/>
        <v>Finance</v>
      </c>
    </row>
    <row r="333" spans="1:8" x14ac:dyDescent="0.35">
      <c r="A333" s="2" t="s">
        <v>91</v>
      </c>
      <c r="B333" s="3">
        <v>46245</v>
      </c>
      <c r="C333" s="2" t="s">
        <v>245</v>
      </c>
      <c r="D333" s="2" t="s">
        <v>17</v>
      </c>
      <c r="E333" t="str">
        <f>IF(OR(A333="", B333=""), "Check missing data", IF(COUNTIFS($A$2:A333, A333, $B$2:B333, B333)&gt;1, "Possible Duplicate", "First Occurrence"))</f>
        <v>First Occurrence</v>
      </c>
      <c r="F333" t="str">
        <f t="shared" si="10"/>
        <v>Absent</v>
      </c>
      <c r="H333" t="str">
        <f t="shared" si="11"/>
        <v>Finance</v>
      </c>
    </row>
    <row r="334" spans="1:8" x14ac:dyDescent="0.35">
      <c r="A334" s="2" t="s">
        <v>91</v>
      </c>
      <c r="B334" s="3">
        <v>46282</v>
      </c>
      <c r="C334" s="2" t="s">
        <v>246</v>
      </c>
      <c r="D334" s="2" t="s">
        <v>17</v>
      </c>
      <c r="E334" t="str">
        <f>IF(OR(A334="", B334=""), "Check missing data", IF(COUNTIFS($A$2:A334, A334, $B$2:B334, B334)&gt;1, "Possible Duplicate", "First Occurrence"))</f>
        <v>First Occurrence</v>
      </c>
      <c r="F334" t="str">
        <f t="shared" si="10"/>
        <v>Present</v>
      </c>
      <c r="H334" t="str">
        <f t="shared" si="11"/>
        <v>Finance</v>
      </c>
    </row>
    <row r="335" spans="1:8" x14ac:dyDescent="0.35">
      <c r="A335" s="2" t="s">
        <v>91</v>
      </c>
      <c r="B335" s="3">
        <v>46225</v>
      </c>
      <c r="C335" s="2" t="s">
        <v>246</v>
      </c>
      <c r="D335" s="2" t="s">
        <v>17</v>
      </c>
      <c r="E335" t="str">
        <f>IF(OR(A335="", B335=""), "Check missing data", IF(COUNTIFS($A$2:A335, A335, $B$2:B335, B335)&gt;1, "Possible Duplicate", "First Occurrence"))</f>
        <v>First Occurrence</v>
      </c>
      <c r="F335" t="str">
        <f t="shared" si="10"/>
        <v>Present</v>
      </c>
      <c r="H335" t="str">
        <f t="shared" si="11"/>
        <v>Finance</v>
      </c>
    </row>
    <row r="336" spans="1:8" x14ac:dyDescent="0.35">
      <c r="A336" s="2" t="s">
        <v>91</v>
      </c>
      <c r="B336" s="3">
        <v>46258</v>
      </c>
      <c r="C336" s="2" t="s">
        <v>246</v>
      </c>
      <c r="D336" s="2" t="s">
        <v>17</v>
      </c>
      <c r="E336" t="str">
        <f>IF(OR(A336="", B336=""), "Check missing data", IF(COUNTIFS($A$2:A336, A336, $B$2:B336, B336)&gt;1, "Possible Duplicate", "First Occurrence"))</f>
        <v>First Occurrence</v>
      </c>
      <c r="F336" t="str">
        <f t="shared" si="10"/>
        <v>Present</v>
      </c>
      <c r="H336" t="str">
        <f t="shared" si="11"/>
        <v>Finance</v>
      </c>
    </row>
    <row r="337" spans="1:8" x14ac:dyDescent="0.35">
      <c r="A337" s="2" t="s">
        <v>91</v>
      </c>
      <c r="B337" s="3">
        <v>46223</v>
      </c>
      <c r="C337" s="2" t="s">
        <v>247</v>
      </c>
      <c r="D337" s="2" t="s">
        <v>17</v>
      </c>
      <c r="E337" t="str">
        <f>IF(OR(A337="", B337=""), "Check missing data", IF(COUNTIFS($A$2:A337, A337, $B$2:B337, B337)&gt;1, "Possible Duplicate", "First Occurrence"))</f>
        <v>First Occurrence</v>
      </c>
      <c r="F337" t="str">
        <f t="shared" si="10"/>
        <v>Late</v>
      </c>
      <c r="H337" t="str">
        <f t="shared" si="11"/>
        <v>Finance</v>
      </c>
    </row>
    <row r="338" spans="1:8" x14ac:dyDescent="0.35">
      <c r="A338" s="2" t="s">
        <v>94</v>
      </c>
      <c r="B338" s="3">
        <v>46279</v>
      </c>
      <c r="C338" s="2" t="s">
        <v>30</v>
      </c>
      <c r="D338" s="2" t="s">
        <v>41</v>
      </c>
      <c r="E338" t="str">
        <f>IF(OR(A338="", B338=""), "Check missing data", IF(COUNTIFS($A$2:A338, A338, $B$2:B338, B338)&gt;1, "Possible Duplicate", "First Occurrence"))</f>
        <v>First Occurrence</v>
      </c>
      <c r="F338" t="str">
        <f t="shared" si="10"/>
        <v>On Leave</v>
      </c>
      <c r="H338" t="str">
        <f t="shared" si="11"/>
        <v>Human Resources</v>
      </c>
    </row>
    <row r="339" spans="1:8" x14ac:dyDescent="0.35">
      <c r="A339" s="2" t="s">
        <v>94</v>
      </c>
      <c r="B339" s="3">
        <v>46289</v>
      </c>
      <c r="C339" s="2" t="s">
        <v>30</v>
      </c>
      <c r="D339" s="2" t="s">
        <v>41</v>
      </c>
      <c r="E339" t="str">
        <f>IF(OR(A339="", B339=""), "Check missing data", IF(COUNTIFS($A$2:A339, A339, $B$2:B339, B339)&gt;1, "Possible Duplicate", "First Occurrence"))</f>
        <v>First Occurrence</v>
      </c>
      <c r="F339" t="str">
        <f t="shared" si="10"/>
        <v>On Leave</v>
      </c>
      <c r="H339" t="str">
        <f t="shared" si="11"/>
        <v>Human Resources</v>
      </c>
    </row>
    <row r="340" spans="1:8" x14ac:dyDescent="0.35">
      <c r="A340" s="2" t="s">
        <v>94</v>
      </c>
      <c r="B340" s="3">
        <v>46211</v>
      </c>
      <c r="C340" s="2" t="s">
        <v>30</v>
      </c>
      <c r="D340" s="2" t="s">
        <v>41</v>
      </c>
      <c r="E340" t="str">
        <f>IF(OR(A340="", B340=""), "Check missing data", IF(COUNTIFS($A$2:A340, A340, $B$2:B340, B340)&gt;1, "Possible Duplicate", "First Occurrence"))</f>
        <v>First Occurrence</v>
      </c>
      <c r="F340" t="str">
        <f t="shared" si="10"/>
        <v>On Leave</v>
      </c>
      <c r="H340" t="str">
        <f t="shared" si="11"/>
        <v>Human Resources</v>
      </c>
    </row>
    <row r="341" spans="1:8" x14ac:dyDescent="0.35">
      <c r="A341" s="2" t="s">
        <v>94</v>
      </c>
      <c r="B341" s="3">
        <v>46230</v>
      </c>
      <c r="C341" s="2" t="s">
        <v>245</v>
      </c>
      <c r="D341" s="2" t="s">
        <v>41</v>
      </c>
      <c r="E341" t="str">
        <f>IF(OR(A341="", B341=""), "Check missing data", IF(COUNTIFS($A$2:A341, A341, $B$2:B341, B341)&gt;1, "Possible Duplicate", "First Occurrence"))</f>
        <v>First Occurrence</v>
      </c>
      <c r="F341" t="str">
        <f t="shared" si="10"/>
        <v>Absent</v>
      </c>
      <c r="H341" t="str">
        <f t="shared" si="11"/>
        <v>Human Resources</v>
      </c>
    </row>
    <row r="342" spans="1:8" x14ac:dyDescent="0.35">
      <c r="A342" s="2" t="s">
        <v>94</v>
      </c>
      <c r="B342" s="3">
        <v>46239</v>
      </c>
      <c r="C342" s="2" t="s">
        <v>246</v>
      </c>
      <c r="D342" s="2" t="s">
        <v>41</v>
      </c>
      <c r="E342" t="str">
        <f>IF(OR(A342="", B342=""), "Check missing data", IF(COUNTIFS($A$2:A342, A342, $B$2:B342, B342)&gt;1, "Possible Duplicate", "First Occurrence"))</f>
        <v>First Occurrence</v>
      </c>
      <c r="F342" t="str">
        <f t="shared" si="10"/>
        <v>Present</v>
      </c>
      <c r="H342" t="str">
        <f t="shared" si="11"/>
        <v>Human Resources</v>
      </c>
    </row>
    <row r="343" spans="1:8" x14ac:dyDescent="0.35">
      <c r="A343" s="2" t="s">
        <v>94</v>
      </c>
      <c r="B343" s="3">
        <v>46245</v>
      </c>
      <c r="C343" s="2" t="s">
        <v>30</v>
      </c>
      <c r="D343" s="2" t="s">
        <v>41</v>
      </c>
      <c r="E343" t="str">
        <f>IF(OR(A343="", B343=""), "Check missing data", IF(COUNTIFS($A$2:A343, A343, $B$2:B343, B343)&gt;1, "Possible Duplicate", "First Occurrence"))</f>
        <v>First Occurrence</v>
      </c>
      <c r="F343" t="str">
        <f t="shared" si="10"/>
        <v>On Leave</v>
      </c>
      <c r="H343" t="str">
        <f t="shared" si="11"/>
        <v>Human Resources</v>
      </c>
    </row>
    <row r="344" spans="1:8" x14ac:dyDescent="0.35">
      <c r="A344" s="2" t="s">
        <v>94</v>
      </c>
      <c r="B344" s="3">
        <v>46233</v>
      </c>
      <c r="C344" s="2" t="s">
        <v>30</v>
      </c>
      <c r="D344" s="2" t="s">
        <v>41</v>
      </c>
      <c r="E344" t="str">
        <f>IF(OR(A344="", B344=""), "Check missing data", IF(COUNTIFS($A$2:A344, A344, $B$2:B344, B344)&gt;1, "Possible Duplicate", "First Occurrence"))</f>
        <v>First Occurrence</v>
      </c>
      <c r="F344" t="str">
        <f t="shared" si="10"/>
        <v>On Leave</v>
      </c>
      <c r="H344" t="str">
        <f t="shared" si="11"/>
        <v>Human Resources</v>
      </c>
    </row>
    <row r="345" spans="1:8" x14ac:dyDescent="0.35">
      <c r="A345" s="2" t="s">
        <v>94</v>
      </c>
      <c r="B345" s="3">
        <v>46288</v>
      </c>
      <c r="C345" s="2" t="s">
        <v>246</v>
      </c>
      <c r="D345" s="2" t="s">
        <v>41</v>
      </c>
      <c r="E345" t="str">
        <f>IF(OR(A345="", B345=""), "Check missing data", IF(COUNTIFS($A$2:A345, A345, $B$2:B345, B345)&gt;1, "Possible Duplicate", "First Occurrence"))</f>
        <v>First Occurrence</v>
      </c>
      <c r="F345" t="str">
        <f t="shared" si="10"/>
        <v>Present</v>
      </c>
      <c r="H345" t="str">
        <f t="shared" si="11"/>
        <v>Human Resources</v>
      </c>
    </row>
    <row r="346" spans="1:8" x14ac:dyDescent="0.35">
      <c r="A346" s="2" t="s">
        <v>94</v>
      </c>
      <c r="B346" s="3">
        <v>46248</v>
      </c>
      <c r="C346" s="2" t="s">
        <v>246</v>
      </c>
      <c r="D346" s="2" t="s">
        <v>41</v>
      </c>
      <c r="E346" t="str">
        <f>IF(OR(A346="", B346=""), "Check missing data", IF(COUNTIFS($A$2:A346, A346, $B$2:B346, B346)&gt;1, "Possible Duplicate", "First Occurrence"))</f>
        <v>First Occurrence</v>
      </c>
      <c r="F346" t="str">
        <f t="shared" si="10"/>
        <v>Present</v>
      </c>
      <c r="H346" t="str">
        <f t="shared" si="11"/>
        <v>Human Resources</v>
      </c>
    </row>
    <row r="347" spans="1:8" x14ac:dyDescent="0.35">
      <c r="A347" s="2" t="s">
        <v>94</v>
      </c>
      <c r="B347" s="3">
        <v>46244</v>
      </c>
      <c r="C347" s="2" t="s">
        <v>30</v>
      </c>
      <c r="D347" s="2" t="s">
        <v>41</v>
      </c>
      <c r="E347" t="str">
        <f>IF(OR(A347="", B347=""), "Check missing data", IF(COUNTIFS($A$2:A347, A347, $B$2:B347, B347)&gt;1, "Possible Duplicate", "First Occurrence"))</f>
        <v>First Occurrence</v>
      </c>
      <c r="F347" t="str">
        <f t="shared" si="10"/>
        <v>On Leave</v>
      </c>
      <c r="H347" t="str">
        <f t="shared" si="11"/>
        <v>Human Resources</v>
      </c>
    </row>
    <row r="348" spans="1:8" x14ac:dyDescent="0.35">
      <c r="A348" s="2" t="s">
        <v>94</v>
      </c>
      <c r="B348" s="3">
        <v>46212</v>
      </c>
      <c r="C348" s="2" t="s">
        <v>245</v>
      </c>
      <c r="D348" s="2" t="s">
        <v>41</v>
      </c>
      <c r="E348" t="str">
        <f>IF(OR(A348="", B348=""), "Check missing data", IF(COUNTIFS($A$2:A348, A348, $B$2:B348, B348)&gt;1, "Possible Duplicate", "First Occurrence"))</f>
        <v>First Occurrence</v>
      </c>
      <c r="F348" t="str">
        <f t="shared" si="10"/>
        <v>Absent</v>
      </c>
      <c r="H348" t="str">
        <f t="shared" si="11"/>
        <v>Human Resources</v>
      </c>
    </row>
    <row r="349" spans="1:8" x14ac:dyDescent="0.35">
      <c r="A349" s="2" t="s">
        <v>94</v>
      </c>
      <c r="B349" s="3">
        <v>46251</v>
      </c>
      <c r="C349" s="2" t="s">
        <v>247</v>
      </c>
      <c r="D349" s="2" t="s">
        <v>41</v>
      </c>
      <c r="E349" t="str">
        <f>IF(OR(A349="", B349=""), "Check missing data", IF(COUNTIFS($A$2:A349, A349, $B$2:B349, B349)&gt;1, "Possible Duplicate", "First Occurrence"))</f>
        <v>First Occurrence</v>
      </c>
      <c r="F349" t="str">
        <f t="shared" si="10"/>
        <v>Late</v>
      </c>
      <c r="H349" t="str">
        <f t="shared" si="11"/>
        <v>Human Resources</v>
      </c>
    </row>
    <row r="350" spans="1:8" x14ac:dyDescent="0.35">
      <c r="A350" s="2" t="s">
        <v>96</v>
      </c>
      <c r="B350" s="3">
        <v>46286</v>
      </c>
      <c r="C350" s="2" t="s">
        <v>246</v>
      </c>
      <c r="D350" s="2" t="s">
        <v>22</v>
      </c>
      <c r="E350" t="str">
        <f>IF(OR(A350="", B350=""), "Check missing data", IF(COUNTIFS($A$2:A350, A350, $B$2:B350, B350)&gt;1, "Possible Duplicate", "First Occurrence"))</f>
        <v>First Occurrence</v>
      </c>
      <c r="F350" t="str">
        <f t="shared" si="10"/>
        <v>Present</v>
      </c>
      <c r="H350" t="str">
        <f t="shared" si="11"/>
        <v>IT</v>
      </c>
    </row>
    <row r="351" spans="1:8" x14ac:dyDescent="0.35">
      <c r="A351" s="2" t="s">
        <v>96</v>
      </c>
      <c r="B351" s="3">
        <v>46252</v>
      </c>
      <c r="C351" s="2" t="s">
        <v>246</v>
      </c>
      <c r="D351" s="2" t="s">
        <v>22</v>
      </c>
      <c r="E351" t="str">
        <f>IF(OR(A351="", B351=""), "Check missing data", IF(COUNTIFS($A$2:A351, A351, $B$2:B351, B351)&gt;1, "Possible Duplicate", "First Occurrence"))</f>
        <v>First Occurrence</v>
      </c>
      <c r="F351" t="str">
        <f t="shared" si="10"/>
        <v>Present</v>
      </c>
      <c r="H351" t="str">
        <f t="shared" si="11"/>
        <v>IT</v>
      </c>
    </row>
    <row r="352" spans="1:8" x14ac:dyDescent="0.35">
      <c r="A352" s="2" t="s">
        <v>96</v>
      </c>
      <c r="B352" s="3">
        <v>46282</v>
      </c>
      <c r="C352" s="2" t="s">
        <v>30</v>
      </c>
      <c r="D352" s="2" t="s">
        <v>22</v>
      </c>
      <c r="E352" t="str">
        <f>IF(OR(A352="", B352=""), "Check missing data", IF(COUNTIFS($A$2:A352, A352, $B$2:B352, B352)&gt;1, "Possible Duplicate", "First Occurrence"))</f>
        <v>First Occurrence</v>
      </c>
      <c r="F352" t="str">
        <f t="shared" si="10"/>
        <v>On Leave</v>
      </c>
      <c r="H352" t="str">
        <f t="shared" si="11"/>
        <v>IT</v>
      </c>
    </row>
    <row r="353" spans="1:8" x14ac:dyDescent="0.35">
      <c r="A353" s="2" t="s">
        <v>96</v>
      </c>
      <c r="B353" s="3">
        <v>46281</v>
      </c>
      <c r="C353" s="2" t="s">
        <v>246</v>
      </c>
      <c r="D353" s="2" t="s">
        <v>22</v>
      </c>
      <c r="E353" t="str">
        <f>IF(OR(A353="", B353=""), "Check missing data", IF(COUNTIFS($A$2:A353, A353, $B$2:B353, B353)&gt;1, "Possible Duplicate", "First Occurrence"))</f>
        <v>First Occurrence</v>
      </c>
      <c r="F353" t="str">
        <f t="shared" si="10"/>
        <v>Present</v>
      </c>
      <c r="H353" t="str">
        <f t="shared" si="11"/>
        <v>IT</v>
      </c>
    </row>
    <row r="354" spans="1:8" x14ac:dyDescent="0.35">
      <c r="A354" s="2" t="s">
        <v>96</v>
      </c>
      <c r="B354" s="3">
        <v>46279</v>
      </c>
      <c r="C354" s="2" t="s">
        <v>247</v>
      </c>
      <c r="D354" s="2" t="s">
        <v>22</v>
      </c>
      <c r="E354" t="str">
        <f>IF(OR(A354="", B354=""), "Check missing data", IF(COUNTIFS($A$2:A354, A354, $B$2:B354, B354)&gt;1, "Possible Duplicate", "First Occurrence"))</f>
        <v>First Occurrence</v>
      </c>
      <c r="F354" t="str">
        <f t="shared" si="10"/>
        <v>Late</v>
      </c>
      <c r="H354" t="str">
        <f t="shared" si="11"/>
        <v>IT</v>
      </c>
    </row>
    <row r="355" spans="1:8" x14ac:dyDescent="0.35">
      <c r="A355" s="2" t="s">
        <v>96</v>
      </c>
      <c r="B355" s="3">
        <v>46226</v>
      </c>
      <c r="C355" s="2" t="s">
        <v>246</v>
      </c>
      <c r="D355" s="2" t="s">
        <v>22</v>
      </c>
      <c r="E355" t="str">
        <f>IF(OR(A355="", B355=""), "Check missing data", IF(COUNTIFS($A$2:A355, A355, $B$2:B355, B355)&gt;1, "Possible Duplicate", "First Occurrence"))</f>
        <v>First Occurrence</v>
      </c>
      <c r="F355" t="str">
        <f t="shared" si="10"/>
        <v>Present</v>
      </c>
      <c r="H355" t="str">
        <f t="shared" si="11"/>
        <v>IT</v>
      </c>
    </row>
    <row r="356" spans="1:8" x14ac:dyDescent="0.35">
      <c r="A356" s="2" t="s">
        <v>96</v>
      </c>
      <c r="B356" s="3">
        <v>46283</v>
      </c>
      <c r="C356" s="2" t="s">
        <v>245</v>
      </c>
      <c r="D356" s="2" t="s">
        <v>22</v>
      </c>
      <c r="E356" t="str">
        <f>IF(OR(A356="", B356=""), "Check missing data", IF(COUNTIFS($A$2:A356, A356, $B$2:B356, B356)&gt;1, "Possible Duplicate", "First Occurrence"))</f>
        <v>First Occurrence</v>
      </c>
      <c r="F356" t="str">
        <f t="shared" si="10"/>
        <v>Absent</v>
      </c>
      <c r="H356" t="str">
        <f t="shared" si="11"/>
        <v>IT</v>
      </c>
    </row>
    <row r="357" spans="1:8" x14ac:dyDescent="0.35">
      <c r="A357" s="2" t="s">
        <v>96</v>
      </c>
      <c r="B357" s="3">
        <v>46287</v>
      </c>
      <c r="C357" s="2" t="s">
        <v>247</v>
      </c>
      <c r="D357" s="2" t="s">
        <v>22</v>
      </c>
      <c r="E357" t="str">
        <f>IF(OR(A357="", B357=""), "Check missing data", IF(COUNTIFS($A$2:A357, A357, $B$2:B357, B357)&gt;1, "Possible Duplicate", "First Occurrence"))</f>
        <v>First Occurrence</v>
      </c>
      <c r="F357" t="str">
        <f t="shared" si="10"/>
        <v>Late</v>
      </c>
      <c r="H357" t="str">
        <f t="shared" si="11"/>
        <v>IT</v>
      </c>
    </row>
    <row r="358" spans="1:8" x14ac:dyDescent="0.35">
      <c r="A358" s="2" t="s">
        <v>96</v>
      </c>
      <c r="B358" s="3">
        <v>46269</v>
      </c>
      <c r="C358" s="2" t="s">
        <v>245</v>
      </c>
      <c r="D358" s="2" t="s">
        <v>22</v>
      </c>
      <c r="E358" t="str">
        <f>IF(OR(A358="", B358=""), "Check missing data", IF(COUNTIFS($A$2:A358, A358, $B$2:B358, B358)&gt;1, "Possible Duplicate", "First Occurrence"))</f>
        <v>First Occurrence</v>
      </c>
      <c r="F358" t="str">
        <f t="shared" si="10"/>
        <v>Absent</v>
      </c>
      <c r="H358" t="str">
        <f t="shared" si="11"/>
        <v>IT</v>
      </c>
    </row>
    <row r="359" spans="1:8" x14ac:dyDescent="0.35">
      <c r="A359" s="2" t="s">
        <v>96</v>
      </c>
      <c r="B359" s="3">
        <v>46266</v>
      </c>
      <c r="C359" s="2" t="s">
        <v>245</v>
      </c>
      <c r="D359" s="2" t="s">
        <v>22</v>
      </c>
      <c r="E359" t="str">
        <f>IF(OR(A359="", B359=""), "Check missing data", IF(COUNTIFS($A$2:A359, A359, $B$2:B359, B359)&gt;1, "Possible Duplicate", "First Occurrence"))</f>
        <v>First Occurrence</v>
      </c>
      <c r="F359" t="str">
        <f t="shared" si="10"/>
        <v>Absent</v>
      </c>
      <c r="H359" t="str">
        <f t="shared" si="11"/>
        <v>IT</v>
      </c>
    </row>
    <row r="360" spans="1:8" x14ac:dyDescent="0.35">
      <c r="A360" s="2" t="s">
        <v>96</v>
      </c>
      <c r="B360" s="3">
        <v>46219</v>
      </c>
      <c r="C360" s="2" t="s">
        <v>246</v>
      </c>
      <c r="D360" s="2" t="s">
        <v>22</v>
      </c>
      <c r="E360" t="str">
        <f>IF(OR(A360="", B360=""), "Check missing data", IF(COUNTIFS($A$2:A360, A360, $B$2:B360, B360)&gt;1, "Possible Duplicate", "First Occurrence"))</f>
        <v>First Occurrence</v>
      </c>
      <c r="F360" t="str">
        <f t="shared" si="10"/>
        <v>Present</v>
      </c>
      <c r="H360" t="str">
        <f t="shared" si="11"/>
        <v>IT</v>
      </c>
    </row>
    <row r="361" spans="1:8" x14ac:dyDescent="0.35">
      <c r="A361" s="2" t="s">
        <v>96</v>
      </c>
      <c r="B361" s="3">
        <v>46227</v>
      </c>
      <c r="C361" s="2" t="s">
        <v>30</v>
      </c>
      <c r="D361" s="2" t="s">
        <v>22</v>
      </c>
      <c r="E361" t="str">
        <f>IF(OR(A361="", B361=""), "Check missing data", IF(COUNTIFS($A$2:A361, A361, $B$2:B361, B361)&gt;1, "Possible Duplicate", "First Occurrence"))</f>
        <v>First Occurrence</v>
      </c>
      <c r="F361" t="str">
        <f t="shared" si="10"/>
        <v>On Leave</v>
      </c>
      <c r="H361" t="str">
        <f t="shared" si="11"/>
        <v>IT</v>
      </c>
    </row>
    <row r="362" spans="1:8" x14ac:dyDescent="0.35">
      <c r="A362" s="2" t="s">
        <v>98</v>
      </c>
      <c r="B362" s="3">
        <v>46205</v>
      </c>
      <c r="C362" s="2" t="s">
        <v>246</v>
      </c>
      <c r="D362" s="2" t="s">
        <v>33</v>
      </c>
      <c r="E362" t="str">
        <f>IF(OR(A362="", B362=""), "Check missing data", IF(COUNTIFS($A$2:A362, A362, $B$2:B362, B362)&gt;1, "Possible Duplicate", "First Occurrence"))</f>
        <v>First Occurrence</v>
      </c>
      <c r="F362" t="str">
        <f t="shared" si="10"/>
        <v>Present</v>
      </c>
      <c r="H362" t="str">
        <f t="shared" si="11"/>
        <v>Sales</v>
      </c>
    </row>
    <row r="363" spans="1:8" x14ac:dyDescent="0.35">
      <c r="A363" s="2" t="s">
        <v>98</v>
      </c>
      <c r="B363" s="3">
        <v>46248</v>
      </c>
      <c r="C363" s="2" t="s">
        <v>247</v>
      </c>
      <c r="D363" s="2" t="s">
        <v>33</v>
      </c>
      <c r="E363" t="str">
        <f>IF(OR(A363="", B363=""), "Check missing data", IF(COUNTIFS($A$2:A363, A363, $B$2:B363, B363)&gt;1, "Possible Duplicate", "First Occurrence"))</f>
        <v>First Occurrence</v>
      </c>
      <c r="F363" t="str">
        <f t="shared" si="10"/>
        <v>Late</v>
      </c>
      <c r="H363" t="str">
        <f t="shared" si="11"/>
        <v>Sales</v>
      </c>
    </row>
    <row r="364" spans="1:8" x14ac:dyDescent="0.35">
      <c r="A364" s="2" t="s">
        <v>98</v>
      </c>
      <c r="B364" s="3">
        <v>46210</v>
      </c>
      <c r="C364" s="2" t="s">
        <v>246</v>
      </c>
      <c r="D364" s="2" t="s">
        <v>33</v>
      </c>
      <c r="E364" t="str">
        <f>IF(OR(A364="", B364=""), "Check missing data", IF(COUNTIFS($A$2:A364, A364, $B$2:B364, B364)&gt;1, "Possible Duplicate", "First Occurrence"))</f>
        <v>First Occurrence</v>
      </c>
      <c r="F364" t="str">
        <f t="shared" si="10"/>
        <v>Present</v>
      </c>
      <c r="H364" t="str">
        <f t="shared" si="11"/>
        <v>Sales</v>
      </c>
    </row>
    <row r="365" spans="1:8" x14ac:dyDescent="0.35">
      <c r="A365" s="2" t="s">
        <v>98</v>
      </c>
      <c r="B365" s="3">
        <v>46283</v>
      </c>
      <c r="C365" s="2" t="s">
        <v>245</v>
      </c>
      <c r="D365" s="2" t="s">
        <v>33</v>
      </c>
      <c r="E365" t="str">
        <f>IF(OR(A365="", B365=""), "Check missing data", IF(COUNTIFS($A$2:A365, A365, $B$2:B365, B365)&gt;1, "Possible Duplicate", "First Occurrence"))</f>
        <v>First Occurrence</v>
      </c>
      <c r="F365" t="str">
        <f t="shared" si="10"/>
        <v>Absent</v>
      </c>
      <c r="H365" t="str">
        <f t="shared" si="11"/>
        <v>Sales</v>
      </c>
    </row>
    <row r="366" spans="1:8" x14ac:dyDescent="0.35">
      <c r="A366" s="2" t="s">
        <v>98</v>
      </c>
      <c r="B366" s="3">
        <v>46213</v>
      </c>
      <c r="C366" s="2" t="s">
        <v>247</v>
      </c>
      <c r="D366" s="2" t="s">
        <v>33</v>
      </c>
      <c r="E366" t="str">
        <f>IF(OR(A366="", B366=""), "Check missing data", IF(COUNTIFS($A$2:A366, A366, $B$2:B366, B366)&gt;1, "Possible Duplicate", "First Occurrence"))</f>
        <v>First Occurrence</v>
      </c>
      <c r="F366" t="str">
        <f t="shared" si="10"/>
        <v>Late</v>
      </c>
      <c r="H366" t="str">
        <f t="shared" si="11"/>
        <v>Sales</v>
      </c>
    </row>
    <row r="367" spans="1:8" x14ac:dyDescent="0.35">
      <c r="A367" s="2" t="s">
        <v>98</v>
      </c>
      <c r="B367" s="3">
        <v>46268</v>
      </c>
      <c r="C367" s="2" t="s">
        <v>246</v>
      </c>
      <c r="D367" s="2" t="s">
        <v>33</v>
      </c>
      <c r="E367" t="str">
        <f>IF(OR(A367="", B367=""), "Check missing data", IF(COUNTIFS($A$2:A367, A367, $B$2:B367, B367)&gt;1, "Possible Duplicate", "First Occurrence"))</f>
        <v>First Occurrence</v>
      </c>
      <c r="F367" t="str">
        <f t="shared" si="10"/>
        <v>Present</v>
      </c>
      <c r="H367" t="str">
        <f t="shared" si="11"/>
        <v>Sales</v>
      </c>
    </row>
    <row r="368" spans="1:8" x14ac:dyDescent="0.35">
      <c r="A368" s="2" t="s">
        <v>98</v>
      </c>
      <c r="B368" s="3">
        <v>46274</v>
      </c>
      <c r="C368" s="2" t="s">
        <v>246</v>
      </c>
      <c r="D368" s="2" t="s">
        <v>33</v>
      </c>
      <c r="E368" t="str">
        <f>IF(OR(A368="", B368=""), "Check missing data", IF(COUNTIFS($A$2:A368, A368, $B$2:B368, B368)&gt;1, "Possible Duplicate", "First Occurrence"))</f>
        <v>First Occurrence</v>
      </c>
      <c r="F368" t="str">
        <f t="shared" si="10"/>
        <v>Present</v>
      </c>
      <c r="H368" t="str">
        <f t="shared" si="11"/>
        <v>Sales</v>
      </c>
    </row>
    <row r="369" spans="1:8" x14ac:dyDescent="0.35">
      <c r="A369" s="2" t="s">
        <v>98</v>
      </c>
      <c r="B369" s="3">
        <v>46238</v>
      </c>
      <c r="C369" s="2" t="s">
        <v>246</v>
      </c>
      <c r="D369" s="2" t="s">
        <v>33</v>
      </c>
      <c r="E369" t="str">
        <f>IF(OR(A369="", B369=""), "Check missing data", IF(COUNTIFS($A$2:A369, A369, $B$2:B369, B369)&gt;1, "Possible Duplicate", "First Occurrence"))</f>
        <v>First Occurrence</v>
      </c>
      <c r="F369" t="str">
        <f t="shared" si="10"/>
        <v>Present</v>
      </c>
      <c r="H369" t="str">
        <f t="shared" si="11"/>
        <v>Sales</v>
      </c>
    </row>
    <row r="370" spans="1:8" x14ac:dyDescent="0.35">
      <c r="A370" s="2" t="s">
        <v>98</v>
      </c>
      <c r="B370" s="3">
        <v>46260</v>
      </c>
      <c r="C370" s="2" t="s">
        <v>247</v>
      </c>
      <c r="D370" s="2" t="s">
        <v>33</v>
      </c>
      <c r="E370" t="str">
        <f>IF(OR(A370="", B370=""), "Check missing data", IF(COUNTIFS($A$2:A370, A370, $B$2:B370, B370)&gt;1, "Possible Duplicate", "First Occurrence"))</f>
        <v>First Occurrence</v>
      </c>
      <c r="F370" t="str">
        <f t="shared" si="10"/>
        <v>Late</v>
      </c>
      <c r="H370" t="str">
        <f t="shared" si="11"/>
        <v>Sales</v>
      </c>
    </row>
    <row r="371" spans="1:8" x14ac:dyDescent="0.35">
      <c r="A371" s="2" t="s">
        <v>98</v>
      </c>
      <c r="B371" s="3">
        <v>46234</v>
      </c>
      <c r="C371" s="2" t="s">
        <v>246</v>
      </c>
      <c r="D371" s="2" t="s">
        <v>33</v>
      </c>
      <c r="E371" t="str">
        <f>IF(OR(A371="", B371=""), "Check missing data", IF(COUNTIFS($A$2:A371, A371, $B$2:B371, B371)&gt;1, "Possible Duplicate", "First Occurrence"))</f>
        <v>First Occurrence</v>
      </c>
      <c r="F371" t="str">
        <f t="shared" si="10"/>
        <v>Present</v>
      </c>
      <c r="H371" t="str">
        <f t="shared" si="11"/>
        <v>Sales</v>
      </c>
    </row>
    <row r="372" spans="1:8" x14ac:dyDescent="0.35">
      <c r="A372" s="2" t="s">
        <v>98</v>
      </c>
      <c r="B372" s="3">
        <v>46269</v>
      </c>
      <c r="C372" s="2" t="s">
        <v>246</v>
      </c>
      <c r="D372" s="2" t="s">
        <v>33</v>
      </c>
      <c r="E372" t="str">
        <f>IF(OR(A372="", B372=""), "Check missing data", IF(COUNTIFS($A$2:A372, A372, $B$2:B372, B372)&gt;1, "Possible Duplicate", "First Occurrence"))</f>
        <v>First Occurrence</v>
      </c>
      <c r="F372" t="str">
        <f t="shared" si="10"/>
        <v>Present</v>
      </c>
      <c r="H372" t="str">
        <f t="shared" si="11"/>
        <v>Sales</v>
      </c>
    </row>
    <row r="373" spans="1:8" x14ac:dyDescent="0.35">
      <c r="A373" s="2" t="s">
        <v>98</v>
      </c>
      <c r="B373" s="3">
        <v>46276</v>
      </c>
      <c r="C373" s="2" t="s">
        <v>30</v>
      </c>
      <c r="D373" s="2" t="s">
        <v>33</v>
      </c>
      <c r="E373" t="str">
        <f>IF(OR(A373="", B373=""), "Check missing data", IF(COUNTIFS($A$2:A373, A373, $B$2:B373, B373)&gt;1, "Possible Duplicate", "First Occurrence"))</f>
        <v>First Occurrence</v>
      </c>
      <c r="F373" t="str">
        <f t="shared" si="10"/>
        <v>On Leave</v>
      </c>
      <c r="H373" t="str">
        <f t="shared" si="11"/>
        <v>Sales</v>
      </c>
    </row>
    <row r="374" spans="1:8" x14ac:dyDescent="0.35">
      <c r="A374" s="2" t="s">
        <v>101</v>
      </c>
      <c r="B374" s="3">
        <v>46224</v>
      </c>
      <c r="C374" s="2" t="s">
        <v>246</v>
      </c>
      <c r="D374" s="2" t="s">
        <v>22</v>
      </c>
      <c r="E374" t="str">
        <f>IF(OR(A374="", B374=""), "Check missing data", IF(COUNTIFS($A$2:A374, A374, $B$2:B374, B374)&gt;1, "Possible Duplicate", "First Occurrence"))</f>
        <v>First Occurrence</v>
      </c>
      <c r="F374" t="str">
        <f t="shared" si="10"/>
        <v>Present</v>
      </c>
      <c r="H374" t="str">
        <f t="shared" si="11"/>
        <v>IT</v>
      </c>
    </row>
    <row r="375" spans="1:8" x14ac:dyDescent="0.35">
      <c r="A375" s="2" t="s">
        <v>101</v>
      </c>
      <c r="B375" s="3">
        <v>46227</v>
      </c>
      <c r="C375" s="2" t="s">
        <v>246</v>
      </c>
      <c r="D375" s="2" t="s">
        <v>22</v>
      </c>
      <c r="E375" t="str">
        <f>IF(OR(A375="", B375=""), "Check missing data", IF(COUNTIFS($A$2:A375, A375, $B$2:B375, B375)&gt;1, "Possible Duplicate", "First Occurrence"))</f>
        <v>First Occurrence</v>
      </c>
      <c r="F375" t="str">
        <f t="shared" si="10"/>
        <v>Present</v>
      </c>
      <c r="H375" t="str">
        <f t="shared" si="11"/>
        <v>IT</v>
      </c>
    </row>
    <row r="376" spans="1:8" x14ac:dyDescent="0.35">
      <c r="A376" s="2" t="s">
        <v>101</v>
      </c>
      <c r="B376" s="3">
        <v>46240</v>
      </c>
      <c r="C376" s="2" t="s">
        <v>245</v>
      </c>
      <c r="D376" s="2" t="s">
        <v>22</v>
      </c>
      <c r="E376" t="str">
        <f>IF(OR(A376="", B376=""), "Check missing data", IF(COUNTIFS($A$2:A376, A376, $B$2:B376, B376)&gt;1, "Possible Duplicate", "First Occurrence"))</f>
        <v>First Occurrence</v>
      </c>
      <c r="F376" t="str">
        <f t="shared" si="10"/>
        <v>Absent</v>
      </c>
      <c r="H376" t="str">
        <f t="shared" si="11"/>
        <v>IT</v>
      </c>
    </row>
    <row r="377" spans="1:8" x14ac:dyDescent="0.35">
      <c r="A377" s="2" t="s">
        <v>101</v>
      </c>
      <c r="B377" s="3">
        <v>46280</v>
      </c>
      <c r="C377" s="2" t="s">
        <v>247</v>
      </c>
      <c r="D377" s="2" t="s">
        <v>22</v>
      </c>
      <c r="E377" t="str">
        <f>IF(OR(A377="", B377=""), "Check missing data", IF(COUNTIFS($A$2:A377, A377, $B$2:B377, B377)&gt;1, "Possible Duplicate", "First Occurrence"))</f>
        <v>First Occurrence</v>
      </c>
      <c r="F377" t="str">
        <f t="shared" si="10"/>
        <v>Late</v>
      </c>
      <c r="H377" t="str">
        <f t="shared" si="11"/>
        <v>IT</v>
      </c>
    </row>
    <row r="378" spans="1:8" x14ac:dyDescent="0.35">
      <c r="A378" s="2" t="s">
        <v>101</v>
      </c>
      <c r="B378" s="3">
        <v>46265</v>
      </c>
      <c r="C378" s="2" t="s">
        <v>246</v>
      </c>
      <c r="D378" s="2" t="s">
        <v>22</v>
      </c>
      <c r="E378" t="str">
        <f>IF(OR(A378="", B378=""), "Check missing data", IF(COUNTIFS($A$2:A378, A378, $B$2:B378, B378)&gt;1, "Possible Duplicate", "First Occurrence"))</f>
        <v>First Occurrence</v>
      </c>
      <c r="F378" t="str">
        <f t="shared" si="10"/>
        <v>Present</v>
      </c>
      <c r="H378" t="str">
        <f t="shared" si="11"/>
        <v>IT</v>
      </c>
    </row>
    <row r="379" spans="1:8" x14ac:dyDescent="0.35">
      <c r="A379" s="2" t="s">
        <v>101</v>
      </c>
      <c r="B379" s="3">
        <v>46289</v>
      </c>
      <c r="C379" s="2" t="s">
        <v>246</v>
      </c>
      <c r="D379" s="2" t="s">
        <v>22</v>
      </c>
      <c r="E379" t="str">
        <f>IF(OR(A379="", B379=""), "Check missing data", IF(COUNTIFS($A$2:A379, A379, $B$2:B379, B379)&gt;1, "Possible Duplicate", "First Occurrence"))</f>
        <v>First Occurrence</v>
      </c>
      <c r="F379" t="str">
        <f t="shared" si="10"/>
        <v>Present</v>
      </c>
      <c r="H379" t="str">
        <f t="shared" si="11"/>
        <v>IT</v>
      </c>
    </row>
    <row r="380" spans="1:8" x14ac:dyDescent="0.35">
      <c r="A380" s="2" t="s">
        <v>101</v>
      </c>
      <c r="B380" s="3">
        <v>46226</v>
      </c>
      <c r="C380" s="2" t="s">
        <v>245</v>
      </c>
      <c r="D380" s="2" t="s">
        <v>22</v>
      </c>
      <c r="E380" t="str">
        <f>IF(OR(A380="", B380=""), "Check missing data", IF(COUNTIFS($A$2:A380, A380, $B$2:B380, B380)&gt;1, "Possible Duplicate", "First Occurrence"))</f>
        <v>First Occurrence</v>
      </c>
      <c r="F380" t="str">
        <f t="shared" si="10"/>
        <v>Absent</v>
      </c>
      <c r="H380" t="str">
        <f t="shared" si="11"/>
        <v>IT</v>
      </c>
    </row>
    <row r="381" spans="1:8" x14ac:dyDescent="0.35">
      <c r="A381" s="2" t="s">
        <v>101</v>
      </c>
      <c r="B381" s="3">
        <v>46275</v>
      </c>
      <c r="C381" s="2" t="s">
        <v>30</v>
      </c>
      <c r="D381" s="2" t="s">
        <v>22</v>
      </c>
      <c r="E381" t="str">
        <f>IF(OR(A381="", B381=""), "Check missing data", IF(COUNTIFS($A$2:A381, A381, $B$2:B381, B381)&gt;1, "Possible Duplicate", "First Occurrence"))</f>
        <v>First Occurrence</v>
      </c>
      <c r="F381" t="str">
        <f t="shared" si="10"/>
        <v>On Leave</v>
      </c>
      <c r="H381" t="str">
        <f t="shared" si="11"/>
        <v>IT</v>
      </c>
    </row>
    <row r="382" spans="1:8" x14ac:dyDescent="0.35">
      <c r="A382" s="2" t="s">
        <v>101</v>
      </c>
      <c r="B382" s="3">
        <v>46266</v>
      </c>
      <c r="C382" s="2" t="s">
        <v>246</v>
      </c>
      <c r="D382" s="2" t="s">
        <v>22</v>
      </c>
      <c r="E382" t="str">
        <f>IF(OR(A382="", B382=""), "Check missing data", IF(COUNTIFS($A$2:A382, A382, $B$2:B382, B382)&gt;1, "Possible Duplicate", "First Occurrence"))</f>
        <v>First Occurrence</v>
      </c>
      <c r="F382" t="str">
        <f t="shared" si="10"/>
        <v>Present</v>
      </c>
      <c r="H382" t="str">
        <f t="shared" si="11"/>
        <v>IT</v>
      </c>
    </row>
    <row r="383" spans="1:8" x14ac:dyDescent="0.35">
      <c r="A383" s="2" t="s">
        <v>101</v>
      </c>
      <c r="B383" s="3">
        <v>46205</v>
      </c>
      <c r="C383" s="2" t="s">
        <v>247</v>
      </c>
      <c r="D383" s="2" t="s">
        <v>22</v>
      </c>
      <c r="E383" t="str">
        <f>IF(OR(A383="", B383=""), "Check missing data", IF(COUNTIFS($A$2:A383, A383, $B$2:B383, B383)&gt;1, "Possible Duplicate", "First Occurrence"))</f>
        <v>First Occurrence</v>
      </c>
      <c r="F383" t="str">
        <f t="shared" si="10"/>
        <v>Late</v>
      </c>
      <c r="H383" t="str">
        <f t="shared" si="11"/>
        <v>IT</v>
      </c>
    </row>
    <row r="384" spans="1:8" x14ac:dyDescent="0.35">
      <c r="A384" s="2" t="s">
        <v>101</v>
      </c>
      <c r="B384" s="3">
        <v>46248</v>
      </c>
      <c r="C384" s="2" t="s">
        <v>246</v>
      </c>
      <c r="D384" s="2" t="s">
        <v>22</v>
      </c>
      <c r="E384" t="str">
        <f>IF(OR(A384="", B384=""), "Check missing data", IF(COUNTIFS($A$2:A384, A384, $B$2:B384, B384)&gt;1, "Possible Duplicate", "First Occurrence"))</f>
        <v>First Occurrence</v>
      </c>
      <c r="F384" t="str">
        <f t="shared" si="10"/>
        <v>Present</v>
      </c>
      <c r="H384" t="str">
        <f t="shared" si="11"/>
        <v>IT</v>
      </c>
    </row>
    <row r="385" spans="1:8" x14ac:dyDescent="0.35">
      <c r="A385" s="2" t="s">
        <v>101</v>
      </c>
      <c r="B385" s="3">
        <v>46218</v>
      </c>
      <c r="C385" s="2" t="s">
        <v>247</v>
      </c>
      <c r="D385" s="2" t="s">
        <v>22</v>
      </c>
      <c r="E385" t="str">
        <f>IF(OR(A385="", B385=""), "Check missing data", IF(COUNTIFS($A$2:A385, A385, $B$2:B385, B385)&gt;1, "Possible Duplicate", "First Occurrence"))</f>
        <v>First Occurrence</v>
      </c>
      <c r="F385" t="str">
        <f t="shared" si="10"/>
        <v>Late</v>
      </c>
      <c r="H385" t="str">
        <f t="shared" si="11"/>
        <v>IT</v>
      </c>
    </row>
    <row r="386" spans="1:8" x14ac:dyDescent="0.35">
      <c r="A386" s="2" t="s">
        <v>103</v>
      </c>
      <c r="B386" s="3">
        <v>46223</v>
      </c>
      <c r="C386" s="2" t="s">
        <v>247</v>
      </c>
      <c r="D386" s="2" t="s">
        <v>11</v>
      </c>
      <c r="E386" t="str">
        <f>IF(OR(A386="", B386=""), "Check missing data", IF(COUNTIFS($A$2:A386, A386, $B$2:B386, B386)&gt;1, "Possible Duplicate", "First Occurrence"))</f>
        <v>First Occurrence</v>
      </c>
      <c r="F386" t="str">
        <f t="shared" si="10"/>
        <v>Late</v>
      </c>
      <c r="H386" t="str">
        <f t="shared" si="11"/>
        <v>Operations</v>
      </c>
    </row>
    <row r="387" spans="1:8" x14ac:dyDescent="0.35">
      <c r="A387" s="2" t="s">
        <v>103</v>
      </c>
      <c r="B387" s="3">
        <v>46220</v>
      </c>
      <c r="C387" s="2" t="s">
        <v>30</v>
      </c>
      <c r="D387" s="2" t="s">
        <v>11</v>
      </c>
      <c r="E387" t="str">
        <f>IF(OR(A387="", B387=""), "Check missing data", IF(COUNTIFS($A$2:A387, A387, $B$2:B387, B387)&gt;1, "Possible Duplicate", "First Occurrence"))</f>
        <v>First Occurrence</v>
      </c>
      <c r="F387" t="str">
        <f t="shared" ref="F387:F450" si="12">PROPER(TRIM(C387))</f>
        <v>On Leave</v>
      </c>
      <c r="H387" t="str">
        <f t="shared" ref="H387:H450" si="13">TRIM(CLEAN(D387))</f>
        <v>Operations</v>
      </c>
    </row>
    <row r="388" spans="1:8" x14ac:dyDescent="0.35">
      <c r="A388" s="2" t="s">
        <v>103</v>
      </c>
      <c r="B388" s="3">
        <v>46288</v>
      </c>
      <c r="C388" s="2" t="s">
        <v>245</v>
      </c>
      <c r="D388" s="2" t="s">
        <v>11</v>
      </c>
      <c r="E388" t="str">
        <f>IF(OR(A388="", B388=""), "Check missing data", IF(COUNTIFS($A$2:A388, A388, $B$2:B388, B388)&gt;1, "Possible Duplicate", "First Occurrence"))</f>
        <v>First Occurrence</v>
      </c>
      <c r="F388" t="str">
        <f t="shared" si="12"/>
        <v>Absent</v>
      </c>
      <c r="H388" t="str">
        <f t="shared" si="13"/>
        <v>Operations</v>
      </c>
    </row>
    <row r="389" spans="1:8" x14ac:dyDescent="0.35">
      <c r="A389" s="2" t="s">
        <v>103</v>
      </c>
      <c r="B389" s="3">
        <v>46244</v>
      </c>
      <c r="C389" s="2" t="s">
        <v>245</v>
      </c>
      <c r="D389" s="2" t="s">
        <v>11</v>
      </c>
      <c r="E389" t="str">
        <f>IF(OR(A389="", B389=""), "Check missing data", IF(COUNTIFS($A$2:A389, A389, $B$2:B389, B389)&gt;1, "Possible Duplicate", "First Occurrence"))</f>
        <v>First Occurrence</v>
      </c>
      <c r="F389" t="str">
        <f t="shared" si="12"/>
        <v>Absent</v>
      </c>
      <c r="H389" t="str">
        <f t="shared" si="13"/>
        <v>Operations</v>
      </c>
    </row>
    <row r="390" spans="1:8" x14ac:dyDescent="0.35">
      <c r="A390" s="2" t="s">
        <v>103</v>
      </c>
      <c r="B390" s="3">
        <v>46216</v>
      </c>
      <c r="C390" s="2" t="s">
        <v>30</v>
      </c>
      <c r="D390" s="2" t="s">
        <v>11</v>
      </c>
      <c r="E390" t="str">
        <f>IF(OR(A390="", B390=""), "Check missing data", IF(COUNTIFS($A$2:A390, A390, $B$2:B390, B390)&gt;1, "Possible Duplicate", "First Occurrence"))</f>
        <v>First Occurrence</v>
      </c>
      <c r="F390" t="str">
        <f t="shared" si="12"/>
        <v>On Leave</v>
      </c>
      <c r="H390" t="str">
        <f t="shared" si="13"/>
        <v>Operations</v>
      </c>
    </row>
    <row r="391" spans="1:8" x14ac:dyDescent="0.35">
      <c r="A391" s="2" t="s">
        <v>103</v>
      </c>
      <c r="B391" s="3">
        <v>46267</v>
      </c>
      <c r="C391" s="2" t="s">
        <v>246</v>
      </c>
      <c r="D391" s="2" t="s">
        <v>11</v>
      </c>
      <c r="E391" t="str">
        <f>IF(OR(A391="", B391=""), "Check missing data", IF(COUNTIFS($A$2:A391, A391, $B$2:B391, B391)&gt;1, "Possible Duplicate", "First Occurrence"))</f>
        <v>First Occurrence</v>
      </c>
      <c r="F391" t="str">
        <f t="shared" si="12"/>
        <v>Present</v>
      </c>
      <c r="H391" t="str">
        <f t="shared" si="13"/>
        <v>Operations</v>
      </c>
    </row>
    <row r="392" spans="1:8" x14ac:dyDescent="0.35">
      <c r="A392" s="2" t="s">
        <v>103</v>
      </c>
      <c r="B392" s="3">
        <v>46275</v>
      </c>
      <c r="C392" s="2" t="s">
        <v>247</v>
      </c>
      <c r="D392" s="2" t="s">
        <v>11</v>
      </c>
      <c r="E392" t="str">
        <f>IF(OR(A392="", B392=""), "Check missing data", IF(COUNTIFS($A$2:A392, A392, $B$2:B392, B392)&gt;1, "Possible Duplicate", "First Occurrence"))</f>
        <v>First Occurrence</v>
      </c>
      <c r="F392" t="str">
        <f t="shared" si="12"/>
        <v>Late</v>
      </c>
      <c r="H392" t="str">
        <f t="shared" si="13"/>
        <v>Operations</v>
      </c>
    </row>
    <row r="393" spans="1:8" x14ac:dyDescent="0.35">
      <c r="A393" s="2" t="s">
        <v>103</v>
      </c>
      <c r="B393" s="3">
        <v>46246</v>
      </c>
      <c r="C393" s="2" t="s">
        <v>246</v>
      </c>
      <c r="D393" s="2" t="s">
        <v>11</v>
      </c>
      <c r="E393" t="str">
        <f>IF(OR(A393="", B393=""), "Check missing data", IF(COUNTIFS($A$2:A393, A393, $B$2:B393, B393)&gt;1, "Possible Duplicate", "First Occurrence"))</f>
        <v>First Occurrence</v>
      </c>
      <c r="F393" t="str">
        <f t="shared" si="12"/>
        <v>Present</v>
      </c>
      <c r="H393" t="str">
        <f t="shared" si="13"/>
        <v>Operations</v>
      </c>
    </row>
    <row r="394" spans="1:8" x14ac:dyDescent="0.35">
      <c r="A394" s="2" t="s">
        <v>103</v>
      </c>
      <c r="B394" s="3">
        <v>46231</v>
      </c>
      <c r="C394" s="2" t="s">
        <v>246</v>
      </c>
      <c r="D394" s="2" t="s">
        <v>11</v>
      </c>
      <c r="E394" t="str">
        <f>IF(OR(A394="", B394=""), "Check missing data", IF(COUNTIFS($A$2:A394, A394, $B$2:B394, B394)&gt;1, "Possible Duplicate", "First Occurrence"))</f>
        <v>First Occurrence</v>
      </c>
      <c r="F394" t="str">
        <f t="shared" si="12"/>
        <v>Present</v>
      </c>
      <c r="H394" t="str">
        <f t="shared" si="13"/>
        <v>Operations</v>
      </c>
    </row>
    <row r="395" spans="1:8" x14ac:dyDescent="0.35">
      <c r="A395" s="2" t="s">
        <v>103</v>
      </c>
      <c r="B395" s="3">
        <v>46252</v>
      </c>
      <c r="C395" s="2" t="s">
        <v>245</v>
      </c>
      <c r="D395" s="2" t="s">
        <v>11</v>
      </c>
      <c r="E395" t="str">
        <f>IF(OR(A395="", B395=""), "Check missing data", IF(COUNTIFS($A$2:A395, A395, $B$2:B395, B395)&gt;1, "Possible Duplicate", "First Occurrence"))</f>
        <v>First Occurrence</v>
      </c>
      <c r="F395" t="str">
        <f t="shared" si="12"/>
        <v>Absent</v>
      </c>
      <c r="H395" t="str">
        <f t="shared" si="13"/>
        <v>Operations</v>
      </c>
    </row>
    <row r="396" spans="1:8" x14ac:dyDescent="0.35">
      <c r="A396" s="2" t="s">
        <v>103</v>
      </c>
      <c r="B396" s="3">
        <v>46227</v>
      </c>
      <c r="C396" s="2" t="s">
        <v>246</v>
      </c>
      <c r="D396" s="2" t="s">
        <v>11</v>
      </c>
      <c r="E396" t="str">
        <f>IF(OR(A396="", B396=""), "Check missing data", IF(COUNTIFS($A$2:A396, A396, $B$2:B396, B396)&gt;1, "Possible Duplicate", "First Occurrence"))</f>
        <v>First Occurrence</v>
      </c>
      <c r="F396" t="str">
        <f t="shared" si="12"/>
        <v>Present</v>
      </c>
      <c r="H396" t="str">
        <f t="shared" si="13"/>
        <v>Operations</v>
      </c>
    </row>
    <row r="397" spans="1:8" x14ac:dyDescent="0.35">
      <c r="A397" s="2" t="s">
        <v>103</v>
      </c>
      <c r="B397" s="3">
        <v>46295</v>
      </c>
      <c r="C397" s="2" t="s">
        <v>246</v>
      </c>
      <c r="D397" s="2" t="s">
        <v>11</v>
      </c>
      <c r="E397" t="str">
        <f>IF(OR(A397="", B397=""), "Check missing data", IF(COUNTIFS($A$2:A397, A397, $B$2:B397, B397)&gt;1, "Possible Duplicate", "First Occurrence"))</f>
        <v>First Occurrence</v>
      </c>
      <c r="F397" t="str">
        <f t="shared" si="12"/>
        <v>Present</v>
      </c>
      <c r="H397" t="str">
        <f t="shared" si="13"/>
        <v>Operations</v>
      </c>
    </row>
    <row r="398" spans="1:8" x14ac:dyDescent="0.35">
      <c r="A398" s="2" t="s">
        <v>105</v>
      </c>
      <c r="B398" s="3">
        <v>46244</v>
      </c>
      <c r="C398" s="2" t="s">
        <v>246</v>
      </c>
      <c r="D398" s="2" t="s">
        <v>17</v>
      </c>
      <c r="E398" t="str">
        <f>IF(OR(A398="", B398=""), "Check missing data", IF(COUNTIFS($A$2:A398, A398, $B$2:B398, B398)&gt;1, "Possible Duplicate", "First Occurrence"))</f>
        <v>First Occurrence</v>
      </c>
      <c r="F398" t="str">
        <f t="shared" si="12"/>
        <v>Present</v>
      </c>
      <c r="H398" t="str">
        <f t="shared" si="13"/>
        <v>Finance</v>
      </c>
    </row>
    <row r="399" spans="1:8" x14ac:dyDescent="0.35">
      <c r="A399" s="2" t="s">
        <v>105</v>
      </c>
      <c r="B399" s="3">
        <v>46287</v>
      </c>
      <c r="C399" s="2" t="s">
        <v>247</v>
      </c>
      <c r="D399" s="2" t="s">
        <v>17</v>
      </c>
      <c r="E399" t="str">
        <f>IF(OR(A399="", B399=""), "Check missing data", IF(COUNTIFS($A$2:A399, A399, $B$2:B399, B399)&gt;1, "Possible Duplicate", "First Occurrence"))</f>
        <v>First Occurrence</v>
      </c>
      <c r="F399" t="str">
        <f t="shared" si="12"/>
        <v>Late</v>
      </c>
      <c r="H399" t="str">
        <f t="shared" si="13"/>
        <v>Finance</v>
      </c>
    </row>
    <row r="400" spans="1:8" x14ac:dyDescent="0.35">
      <c r="A400" s="2" t="s">
        <v>105</v>
      </c>
      <c r="B400" s="3">
        <v>46239</v>
      </c>
      <c r="C400" s="2" t="s">
        <v>247</v>
      </c>
      <c r="D400" s="2" t="s">
        <v>17</v>
      </c>
      <c r="E400" t="str">
        <f>IF(OR(A400="", B400=""), "Check missing data", IF(COUNTIFS($A$2:A400, A400, $B$2:B400, B400)&gt;1, "Possible Duplicate", "First Occurrence"))</f>
        <v>First Occurrence</v>
      </c>
      <c r="F400" t="str">
        <f t="shared" si="12"/>
        <v>Late</v>
      </c>
      <c r="H400" t="str">
        <f t="shared" si="13"/>
        <v>Finance</v>
      </c>
    </row>
    <row r="401" spans="1:8" x14ac:dyDescent="0.35">
      <c r="A401" s="2" t="s">
        <v>105</v>
      </c>
      <c r="B401" s="3">
        <v>46245</v>
      </c>
      <c r="C401" s="2" t="s">
        <v>247</v>
      </c>
      <c r="D401" s="2" t="s">
        <v>17</v>
      </c>
      <c r="E401" t="str">
        <f>IF(OR(A401="", B401=""), "Check missing data", IF(COUNTIFS($A$2:A401, A401, $B$2:B401, B401)&gt;1, "Possible Duplicate", "First Occurrence"))</f>
        <v>First Occurrence</v>
      </c>
      <c r="F401" t="str">
        <f t="shared" si="12"/>
        <v>Late</v>
      </c>
      <c r="H401" t="str">
        <f t="shared" si="13"/>
        <v>Finance</v>
      </c>
    </row>
    <row r="402" spans="1:8" x14ac:dyDescent="0.35">
      <c r="A402" s="2" t="s">
        <v>105</v>
      </c>
      <c r="B402" s="3">
        <v>46259</v>
      </c>
      <c r="C402" s="2" t="s">
        <v>30</v>
      </c>
      <c r="D402" s="2" t="s">
        <v>17</v>
      </c>
      <c r="E402" t="str">
        <f>IF(OR(A402="", B402=""), "Check missing data", IF(COUNTIFS($A$2:A402, A402, $B$2:B402, B402)&gt;1, "Possible Duplicate", "First Occurrence"))</f>
        <v>First Occurrence</v>
      </c>
      <c r="F402" t="str">
        <f t="shared" si="12"/>
        <v>On Leave</v>
      </c>
      <c r="H402" t="str">
        <f t="shared" si="13"/>
        <v>Finance</v>
      </c>
    </row>
    <row r="403" spans="1:8" x14ac:dyDescent="0.35">
      <c r="A403" s="2" t="s">
        <v>105</v>
      </c>
      <c r="B403" s="3">
        <v>46293</v>
      </c>
      <c r="C403" s="2" t="s">
        <v>247</v>
      </c>
      <c r="D403" s="2" t="s">
        <v>17</v>
      </c>
      <c r="E403" t="str">
        <f>IF(OR(A403="", B403=""), "Check missing data", IF(COUNTIFS($A$2:A403, A403, $B$2:B403, B403)&gt;1, "Possible Duplicate", "First Occurrence"))</f>
        <v>First Occurrence</v>
      </c>
      <c r="F403" t="str">
        <f t="shared" si="12"/>
        <v>Late</v>
      </c>
      <c r="H403" t="str">
        <f t="shared" si="13"/>
        <v>Finance</v>
      </c>
    </row>
    <row r="404" spans="1:8" x14ac:dyDescent="0.35">
      <c r="A404" s="2" t="s">
        <v>105</v>
      </c>
      <c r="B404" s="3">
        <v>46269</v>
      </c>
      <c r="C404" s="2" t="s">
        <v>246</v>
      </c>
      <c r="D404" s="2" t="s">
        <v>17</v>
      </c>
      <c r="E404" t="str">
        <f>IF(OR(A404="", B404=""), "Check missing data", IF(COUNTIFS($A$2:A404, A404, $B$2:B404, B404)&gt;1, "Possible Duplicate", "First Occurrence"))</f>
        <v>First Occurrence</v>
      </c>
      <c r="F404" t="str">
        <f t="shared" si="12"/>
        <v>Present</v>
      </c>
      <c r="H404" t="str">
        <f t="shared" si="13"/>
        <v>Finance</v>
      </c>
    </row>
    <row r="405" spans="1:8" x14ac:dyDescent="0.35">
      <c r="A405" s="2" t="s">
        <v>105</v>
      </c>
      <c r="B405" s="3">
        <v>46283</v>
      </c>
      <c r="C405" s="2" t="s">
        <v>245</v>
      </c>
      <c r="D405" s="2" t="s">
        <v>17</v>
      </c>
      <c r="E405" t="str">
        <f>IF(OR(A405="", B405=""), "Check missing data", IF(COUNTIFS($A$2:A405, A405, $B$2:B405, B405)&gt;1, "Possible Duplicate", "First Occurrence"))</f>
        <v>First Occurrence</v>
      </c>
      <c r="F405" t="str">
        <f t="shared" si="12"/>
        <v>Absent</v>
      </c>
      <c r="H405" t="str">
        <f t="shared" si="13"/>
        <v>Finance</v>
      </c>
    </row>
    <row r="406" spans="1:8" x14ac:dyDescent="0.35">
      <c r="A406" s="2" t="s">
        <v>105</v>
      </c>
      <c r="B406" s="3">
        <v>46274</v>
      </c>
      <c r="C406" s="2" t="s">
        <v>245</v>
      </c>
      <c r="D406" s="2" t="s">
        <v>17</v>
      </c>
      <c r="E406" t="str">
        <f>IF(OR(A406="", B406=""), "Check missing data", IF(COUNTIFS($A$2:A406, A406, $B$2:B406, B406)&gt;1, "Possible Duplicate", "First Occurrence"))</f>
        <v>First Occurrence</v>
      </c>
      <c r="F406" t="str">
        <f t="shared" si="12"/>
        <v>Absent</v>
      </c>
      <c r="H406" t="str">
        <f t="shared" si="13"/>
        <v>Finance</v>
      </c>
    </row>
    <row r="407" spans="1:8" x14ac:dyDescent="0.35">
      <c r="A407" s="2" t="s">
        <v>105</v>
      </c>
      <c r="B407" s="3">
        <v>46223</v>
      </c>
      <c r="C407" s="2" t="s">
        <v>30</v>
      </c>
      <c r="D407" s="2" t="s">
        <v>17</v>
      </c>
      <c r="E407" t="str">
        <f>IF(OR(A407="", B407=""), "Check missing data", IF(COUNTIFS($A$2:A407, A407, $B$2:B407, B407)&gt;1, "Possible Duplicate", "First Occurrence"))</f>
        <v>First Occurrence</v>
      </c>
      <c r="F407" t="str">
        <f t="shared" si="12"/>
        <v>On Leave</v>
      </c>
      <c r="H407" t="str">
        <f t="shared" si="13"/>
        <v>Finance</v>
      </c>
    </row>
    <row r="408" spans="1:8" x14ac:dyDescent="0.35">
      <c r="A408" s="2" t="s">
        <v>105</v>
      </c>
      <c r="B408" s="3">
        <v>46255</v>
      </c>
      <c r="C408" s="2" t="s">
        <v>246</v>
      </c>
      <c r="D408" s="2" t="s">
        <v>17</v>
      </c>
      <c r="E408" t="str">
        <f>IF(OR(A408="", B408=""), "Check missing data", IF(COUNTIFS($A$2:A408, A408, $B$2:B408, B408)&gt;1, "Possible Duplicate", "First Occurrence"))</f>
        <v>First Occurrence</v>
      </c>
      <c r="F408" t="str">
        <f t="shared" si="12"/>
        <v>Present</v>
      </c>
      <c r="H408" t="str">
        <f t="shared" si="13"/>
        <v>Finance</v>
      </c>
    </row>
    <row r="409" spans="1:8" x14ac:dyDescent="0.35">
      <c r="A409" s="2" t="s">
        <v>105</v>
      </c>
      <c r="B409" s="3">
        <v>46209</v>
      </c>
      <c r="C409" s="2" t="s">
        <v>246</v>
      </c>
      <c r="D409" s="2" t="s">
        <v>17</v>
      </c>
      <c r="E409" t="str">
        <f>IF(OR(A409="", B409=""), "Check missing data", IF(COUNTIFS($A$2:A409, A409, $B$2:B409, B409)&gt;1, "Possible Duplicate", "First Occurrence"))</f>
        <v>First Occurrence</v>
      </c>
      <c r="F409" t="str">
        <f t="shared" si="12"/>
        <v>Present</v>
      </c>
      <c r="H409" t="str">
        <f t="shared" si="13"/>
        <v>Finance</v>
      </c>
    </row>
    <row r="410" spans="1:8" x14ac:dyDescent="0.35">
      <c r="A410" s="2" t="s">
        <v>107</v>
      </c>
      <c r="B410" s="3">
        <v>46212</v>
      </c>
      <c r="C410" s="2" t="s">
        <v>246</v>
      </c>
      <c r="D410" s="2" t="s">
        <v>41</v>
      </c>
      <c r="E410" t="str">
        <f>IF(OR(A410="", B410=""), "Check missing data", IF(COUNTIFS($A$2:A410, A410, $B$2:B410, B410)&gt;1, "Possible Duplicate", "First Occurrence"))</f>
        <v>First Occurrence</v>
      </c>
      <c r="F410" t="str">
        <f t="shared" si="12"/>
        <v>Present</v>
      </c>
      <c r="H410" t="str">
        <f t="shared" si="13"/>
        <v>Human Resources</v>
      </c>
    </row>
    <row r="411" spans="1:8" x14ac:dyDescent="0.35">
      <c r="A411" s="2" t="s">
        <v>107</v>
      </c>
      <c r="B411" s="3">
        <v>46213</v>
      </c>
      <c r="C411" s="2" t="s">
        <v>245</v>
      </c>
      <c r="D411" s="2" t="s">
        <v>41</v>
      </c>
      <c r="E411" t="str">
        <f>IF(OR(A411="", B411=""), "Check missing data", IF(COUNTIFS($A$2:A411, A411, $B$2:B411, B411)&gt;1, "Possible Duplicate", "First Occurrence"))</f>
        <v>First Occurrence</v>
      </c>
      <c r="F411" t="str">
        <f t="shared" si="12"/>
        <v>Absent</v>
      </c>
      <c r="H411" t="str">
        <f t="shared" si="13"/>
        <v>Human Resources</v>
      </c>
    </row>
    <row r="412" spans="1:8" x14ac:dyDescent="0.35">
      <c r="A412" s="2" t="s">
        <v>107</v>
      </c>
      <c r="B412" s="3">
        <v>46247</v>
      </c>
      <c r="C412" s="2" t="s">
        <v>246</v>
      </c>
      <c r="D412" s="2" t="s">
        <v>41</v>
      </c>
      <c r="E412" t="str">
        <f>IF(OR(A412="", B412=""), "Check missing data", IF(COUNTIFS($A$2:A412, A412, $B$2:B412, B412)&gt;1, "Possible Duplicate", "First Occurrence"))</f>
        <v>First Occurrence</v>
      </c>
      <c r="F412" t="str">
        <f t="shared" si="12"/>
        <v>Present</v>
      </c>
      <c r="H412" t="str">
        <f t="shared" si="13"/>
        <v>Human Resources</v>
      </c>
    </row>
    <row r="413" spans="1:8" x14ac:dyDescent="0.35">
      <c r="A413" s="2" t="s">
        <v>107</v>
      </c>
      <c r="B413" s="3">
        <v>46272</v>
      </c>
      <c r="C413" s="2" t="s">
        <v>246</v>
      </c>
      <c r="D413" s="2" t="s">
        <v>41</v>
      </c>
      <c r="E413" t="str">
        <f>IF(OR(A413="", B413=""), "Check missing data", IF(COUNTIFS($A$2:A413, A413, $B$2:B413, B413)&gt;1, "Possible Duplicate", "First Occurrence"))</f>
        <v>First Occurrence</v>
      </c>
      <c r="F413" t="str">
        <f t="shared" si="12"/>
        <v>Present</v>
      </c>
      <c r="H413" t="str">
        <f t="shared" si="13"/>
        <v>Human Resources</v>
      </c>
    </row>
    <row r="414" spans="1:8" x14ac:dyDescent="0.35">
      <c r="A414" s="2" t="s">
        <v>107</v>
      </c>
      <c r="B414" s="3">
        <v>46220</v>
      </c>
      <c r="C414" s="2" t="s">
        <v>30</v>
      </c>
      <c r="D414" s="2" t="s">
        <v>41</v>
      </c>
      <c r="E414" t="str">
        <f>IF(OR(A414="", B414=""), "Check missing data", IF(COUNTIFS($A$2:A414, A414, $B$2:B414, B414)&gt;1, "Possible Duplicate", "First Occurrence"))</f>
        <v>First Occurrence</v>
      </c>
      <c r="F414" t="str">
        <f t="shared" si="12"/>
        <v>On Leave</v>
      </c>
      <c r="H414" t="str">
        <f t="shared" si="13"/>
        <v>Human Resources</v>
      </c>
    </row>
    <row r="415" spans="1:8" x14ac:dyDescent="0.35">
      <c r="A415" s="2" t="s">
        <v>107</v>
      </c>
      <c r="B415" s="3">
        <v>46217</v>
      </c>
      <c r="C415" s="2" t="s">
        <v>247</v>
      </c>
      <c r="D415" s="2" t="s">
        <v>41</v>
      </c>
      <c r="E415" t="str">
        <f>IF(OR(A415="", B415=""), "Check missing data", IF(COUNTIFS($A$2:A415, A415, $B$2:B415, B415)&gt;1, "Possible Duplicate", "First Occurrence"))</f>
        <v>First Occurrence</v>
      </c>
      <c r="F415" t="str">
        <f t="shared" si="12"/>
        <v>Late</v>
      </c>
      <c r="H415" t="str">
        <f t="shared" si="13"/>
        <v>Human Resources</v>
      </c>
    </row>
    <row r="416" spans="1:8" x14ac:dyDescent="0.35">
      <c r="A416" s="2" t="s">
        <v>107</v>
      </c>
      <c r="B416" s="3">
        <v>46234</v>
      </c>
      <c r="C416" s="2" t="s">
        <v>246</v>
      </c>
      <c r="D416" s="2" t="s">
        <v>41</v>
      </c>
      <c r="E416" t="str">
        <f>IF(OR(A416="", B416=""), "Check missing data", IF(COUNTIFS($A$2:A416, A416, $B$2:B416, B416)&gt;1, "Possible Duplicate", "First Occurrence"))</f>
        <v>First Occurrence</v>
      </c>
      <c r="F416" t="str">
        <f t="shared" si="12"/>
        <v>Present</v>
      </c>
      <c r="H416" t="str">
        <f t="shared" si="13"/>
        <v>Human Resources</v>
      </c>
    </row>
    <row r="417" spans="1:8" x14ac:dyDescent="0.35">
      <c r="A417" s="2" t="s">
        <v>107</v>
      </c>
      <c r="B417" s="3">
        <v>46246</v>
      </c>
      <c r="C417" s="2" t="s">
        <v>246</v>
      </c>
      <c r="D417" s="2" t="s">
        <v>41</v>
      </c>
      <c r="E417" t="str">
        <f>IF(OR(A417="", B417=""), "Check missing data", IF(COUNTIFS($A$2:A417, A417, $B$2:B417, B417)&gt;1, "Possible Duplicate", "First Occurrence"))</f>
        <v>First Occurrence</v>
      </c>
      <c r="F417" t="str">
        <f t="shared" si="12"/>
        <v>Present</v>
      </c>
      <c r="H417" t="str">
        <f t="shared" si="13"/>
        <v>Human Resources</v>
      </c>
    </row>
    <row r="418" spans="1:8" x14ac:dyDescent="0.35">
      <c r="A418" s="2" t="s">
        <v>107</v>
      </c>
      <c r="B418" s="3">
        <v>46288</v>
      </c>
      <c r="C418" s="2" t="s">
        <v>247</v>
      </c>
      <c r="D418" s="2" t="s">
        <v>41</v>
      </c>
      <c r="E418" t="str">
        <f>IF(OR(A418="", B418=""), "Check missing data", IF(COUNTIFS($A$2:A418, A418, $B$2:B418, B418)&gt;1, "Possible Duplicate", "First Occurrence"))</f>
        <v>First Occurrence</v>
      </c>
      <c r="F418" t="str">
        <f t="shared" si="12"/>
        <v>Late</v>
      </c>
      <c r="H418" t="str">
        <f t="shared" si="13"/>
        <v>Human Resources</v>
      </c>
    </row>
    <row r="419" spans="1:8" x14ac:dyDescent="0.35">
      <c r="A419" s="2" t="s">
        <v>107</v>
      </c>
      <c r="B419" s="3">
        <v>46289</v>
      </c>
      <c r="C419" s="2" t="s">
        <v>247</v>
      </c>
      <c r="D419" s="2" t="s">
        <v>41</v>
      </c>
      <c r="E419" t="str">
        <f>IF(OR(A419="", B419=""), "Check missing data", IF(COUNTIFS($A$2:A419, A419, $B$2:B419, B419)&gt;1, "Possible Duplicate", "First Occurrence"))</f>
        <v>First Occurrence</v>
      </c>
      <c r="F419" t="str">
        <f t="shared" si="12"/>
        <v>Late</v>
      </c>
      <c r="H419" t="str">
        <f t="shared" si="13"/>
        <v>Human Resources</v>
      </c>
    </row>
    <row r="420" spans="1:8" x14ac:dyDescent="0.35">
      <c r="A420" s="2" t="s">
        <v>107</v>
      </c>
      <c r="B420" s="3">
        <v>46279</v>
      </c>
      <c r="C420" s="2" t="s">
        <v>30</v>
      </c>
      <c r="D420" s="2" t="s">
        <v>41</v>
      </c>
      <c r="E420" t="str">
        <f>IF(OR(A420="", B420=""), "Check missing data", IF(COUNTIFS($A$2:A420, A420, $B$2:B420, B420)&gt;1, "Possible Duplicate", "First Occurrence"))</f>
        <v>First Occurrence</v>
      </c>
      <c r="F420" t="str">
        <f t="shared" si="12"/>
        <v>On Leave</v>
      </c>
      <c r="H420" t="str">
        <f t="shared" si="13"/>
        <v>Human Resources</v>
      </c>
    </row>
    <row r="421" spans="1:8" x14ac:dyDescent="0.35">
      <c r="A421" s="2" t="s">
        <v>107</v>
      </c>
      <c r="B421" s="3">
        <v>46295</v>
      </c>
      <c r="C421" s="2" t="s">
        <v>245</v>
      </c>
      <c r="D421" s="2" t="s">
        <v>41</v>
      </c>
      <c r="E421" t="str">
        <f>IF(OR(A421="", B421=""), "Check missing data", IF(COUNTIFS($A$2:A421, A421, $B$2:B421, B421)&gt;1, "Possible Duplicate", "First Occurrence"))</f>
        <v>First Occurrence</v>
      </c>
      <c r="F421" t="str">
        <f t="shared" si="12"/>
        <v>Absent</v>
      </c>
      <c r="H421" t="str">
        <f t="shared" si="13"/>
        <v>Human Resources</v>
      </c>
    </row>
    <row r="422" spans="1:8" x14ac:dyDescent="0.35">
      <c r="A422" s="2" t="s">
        <v>109</v>
      </c>
      <c r="B422" s="3">
        <v>46247</v>
      </c>
      <c r="C422" s="2" t="s">
        <v>30</v>
      </c>
      <c r="D422" s="2" t="s">
        <v>33</v>
      </c>
      <c r="E422" t="str">
        <f>IF(OR(A422="", B422=""), "Check missing data", IF(COUNTIFS($A$2:A422, A422, $B$2:B422, B422)&gt;1, "Possible Duplicate", "First Occurrence"))</f>
        <v>First Occurrence</v>
      </c>
      <c r="F422" t="str">
        <f t="shared" si="12"/>
        <v>On Leave</v>
      </c>
      <c r="H422" t="str">
        <f t="shared" si="13"/>
        <v>Sales</v>
      </c>
    </row>
    <row r="423" spans="1:8" x14ac:dyDescent="0.35">
      <c r="A423" s="2" t="s">
        <v>109</v>
      </c>
      <c r="B423" s="3">
        <v>46205</v>
      </c>
      <c r="C423" s="2" t="s">
        <v>246</v>
      </c>
      <c r="D423" s="2" t="s">
        <v>33</v>
      </c>
      <c r="E423" t="str">
        <f>IF(OR(A423="", B423=""), "Check missing data", IF(COUNTIFS($A$2:A423, A423, $B$2:B423, B423)&gt;1, "Possible Duplicate", "First Occurrence"))</f>
        <v>First Occurrence</v>
      </c>
      <c r="F423" t="str">
        <f t="shared" si="12"/>
        <v>Present</v>
      </c>
      <c r="H423" t="str">
        <f t="shared" si="13"/>
        <v>Sales</v>
      </c>
    </row>
    <row r="424" spans="1:8" x14ac:dyDescent="0.35">
      <c r="A424" s="2" t="s">
        <v>109</v>
      </c>
      <c r="B424" s="3">
        <v>46218</v>
      </c>
      <c r="C424" s="2" t="s">
        <v>245</v>
      </c>
      <c r="D424" s="2" t="s">
        <v>33</v>
      </c>
      <c r="E424" t="str">
        <f>IF(OR(A424="", B424=""), "Check missing data", IF(COUNTIFS($A$2:A424, A424, $B$2:B424, B424)&gt;1, "Possible Duplicate", "First Occurrence"))</f>
        <v>First Occurrence</v>
      </c>
      <c r="F424" t="str">
        <f t="shared" si="12"/>
        <v>Absent</v>
      </c>
      <c r="H424" t="str">
        <f t="shared" si="13"/>
        <v>Sales</v>
      </c>
    </row>
    <row r="425" spans="1:8" x14ac:dyDescent="0.35">
      <c r="A425" s="2" t="s">
        <v>109</v>
      </c>
      <c r="B425" s="3">
        <v>46219</v>
      </c>
      <c r="C425" s="2" t="s">
        <v>246</v>
      </c>
      <c r="D425" s="2" t="s">
        <v>33</v>
      </c>
      <c r="E425" t="str">
        <f>IF(OR(A425="", B425=""), "Check missing data", IF(COUNTIFS($A$2:A425, A425, $B$2:B425, B425)&gt;1, "Possible Duplicate", "First Occurrence"))</f>
        <v>First Occurrence</v>
      </c>
      <c r="F425" t="str">
        <f t="shared" si="12"/>
        <v>Present</v>
      </c>
      <c r="H425" t="str">
        <f t="shared" si="13"/>
        <v>Sales</v>
      </c>
    </row>
    <row r="426" spans="1:8" x14ac:dyDescent="0.35">
      <c r="A426" s="2" t="s">
        <v>109</v>
      </c>
      <c r="B426" s="3">
        <v>46254</v>
      </c>
      <c r="C426" s="2" t="s">
        <v>245</v>
      </c>
      <c r="D426" s="2" t="s">
        <v>33</v>
      </c>
      <c r="E426" t="str">
        <f>IF(OR(A426="", B426=""), "Check missing data", IF(COUNTIFS($A$2:A426, A426, $B$2:B426, B426)&gt;1, "Possible Duplicate", "First Occurrence"))</f>
        <v>First Occurrence</v>
      </c>
      <c r="F426" t="str">
        <f t="shared" si="12"/>
        <v>Absent</v>
      </c>
      <c r="H426" t="str">
        <f t="shared" si="13"/>
        <v>Sales</v>
      </c>
    </row>
    <row r="427" spans="1:8" x14ac:dyDescent="0.35">
      <c r="A427" s="2" t="s">
        <v>109</v>
      </c>
      <c r="B427" s="3">
        <v>46210</v>
      </c>
      <c r="C427" s="2" t="s">
        <v>245</v>
      </c>
      <c r="D427" s="2" t="s">
        <v>33</v>
      </c>
      <c r="E427" t="str">
        <f>IF(OR(A427="", B427=""), "Check missing data", IF(COUNTIFS($A$2:A427, A427, $B$2:B427, B427)&gt;1, "Possible Duplicate", "First Occurrence"))</f>
        <v>First Occurrence</v>
      </c>
      <c r="F427" t="str">
        <f t="shared" si="12"/>
        <v>Absent</v>
      </c>
      <c r="H427" t="str">
        <f t="shared" si="13"/>
        <v>Sales</v>
      </c>
    </row>
    <row r="428" spans="1:8" x14ac:dyDescent="0.35">
      <c r="A428" s="2" t="s">
        <v>109</v>
      </c>
      <c r="B428" s="3">
        <v>46281</v>
      </c>
      <c r="C428" s="2" t="s">
        <v>246</v>
      </c>
      <c r="D428" s="2" t="s">
        <v>33</v>
      </c>
      <c r="E428" t="str">
        <f>IF(OR(A428="", B428=""), "Check missing data", IF(COUNTIFS($A$2:A428, A428, $B$2:B428, B428)&gt;1, "Possible Duplicate", "First Occurrence"))</f>
        <v>First Occurrence</v>
      </c>
      <c r="F428" t="str">
        <f t="shared" si="12"/>
        <v>Present</v>
      </c>
      <c r="H428" t="str">
        <f t="shared" si="13"/>
        <v>Sales</v>
      </c>
    </row>
    <row r="429" spans="1:8" x14ac:dyDescent="0.35">
      <c r="A429" s="2" t="s">
        <v>109</v>
      </c>
      <c r="B429" s="3">
        <v>46283</v>
      </c>
      <c r="C429" s="2" t="s">
        <v>246</v>
      </c>
      <c r="D429" s="2" t="s">
        <v>33</v>
      </c>
      <c r="E429" t="str">
        <f>IF(OR(A429="", B429=""), "Check missing data", IF(COUNTIFS($A$2:A429, A429, $B$2:B429, B429)&gt;1, "Possible Duplicate", "First Occurrence"))</f>
        <v>First Occurrence</v>
      </c>
      <c r="F429" t="str">
        <f t="shared" si="12"/>
        <v>Present</v>
      </c>
      <c r="H429" t="str">
        <f t="shared" si="13"/>
        <v>Sales</v>
      </c>
    </row>
    <row r="430" spans="1:8" x14ac:dyDescent="0.35">
      <c r="A430" s="2" t="s">
        <v>109</v>
      </c>
      <c r="B430" s="3">
        <v>46275</v>
      </c>
      <c r="C430" s="2" t="s">
        <v>247</v>
      </c>
      <c r="D430" s="2" t="s">
        <v>33</v>
      </c>
      <c r="E430" t="str">
        <f>IF(OR(A430="", B430=""), "Check missing data", IF(COUNTIFS($A$2:A430, A430, $B$2:B430, B430)&gt;1, "Possible Duplicate", "First Occurrence"))</f>
        <v>First Occurrence</v>
      </c>
      <c r="F430" t="str">
        <f t="shared" si="12"/>
        <v>Late</v>
      </c>
      <c r="H430" t="str">
        <f t="shared" si="13"/>
        <v>Sales</v>
      </c>
    </row>
    <row r="431" spans="1:8" x14ac:dyDescent="0.35">
      <c r="A431" s="2" t="s">
        <v>109</v>
      </c>
      <c r="B431" s="3">
        <v>46294</v>
      </c>
      <c r="C431" s="2" t="s">
        <v>30</v>
      </c>
      <c r="D431" s="2" t="s">
        <v>33</v>
      </c>
      <c r="E431" t="str">
        <f>IF(OR(A431="", B431=""), "Check missing data", IF(COUNTIFS($A$2:A431, A431, $B$2:B431, B431)&gt;1, "Possible Duplicate", "First Occurrence"))</f>
        <v>First Occurrence</v>
      </c>
      <c r="F431" t="str">
        <f t="shared" si="12"/>
        <v>On Leave</v>
      </c>
      <c r="H431" t="str">
        <f t="shared" si="13"/>
        <v>Sales</v>
      </c>
    </row>
    <row r="432" spans="1:8" x14ac:dyDescent="0.35">
      <c r="A432" s="2" t="s">
        <v>109</v>
      </c>
      <c r="B432" s="3">
        <v>46225</v>
      </c>
      <c r="C432" s="2" t="s">
        <v>30</v>
      </c>
      <c r="D432" s="2" t="s">
        <v>33</v>
      </c>
      <c r="E432" t="str">
        <f>IF(OR(A432="", B432=""), "Check missing data", IF(COUNTIFS($A$2:A432, A432, $B$2:B432, B432)&gt;1, "Possible Duplicate", "First Occurrence"))</f>
        <v>First Occurrence</v>
      </c>
      <c r="F432" t="str">
        <f t="shared" si="12"/>
        <v>On Leave</v>
      </c>
      <c r="H432" t="str">
        <f t="shared" si="13"/>
        <v>Sales</v>
      </c>
    </row>
    <row r="433" spans="1:8" x14ac:dyDescent="0.35">
      <c r="A433" s="2" t="s">
        <v>109</v>
      </c>
      <c r="B433" s="3">
        <v>46232</v>
      </c>
      <c r="C433" s="2" t="s">
        <v>246</v>
      </c>
      <c r="D433" s="2" t="s">
        <v>33</v>
      </c>
      <c r="E433" t="str">
        <f>IF(OR(A433="", B433=""), "Check missing data", IF(COUNTIFS($A$2:A433, A433, $B$2:B433, B433)&gt;1, "Possible Duplicate", "First Occurrence"))</f>
        <v>First Occurrence</v>
      </c>
      <c r="F433" t="str">
        <f t="shared" si="12"/>
        <v>Present</v>
      </c>
      <c r="H433" t="str">
        <f t="shared" si="13"/>
        <v>Sales</v>
      </c>
    </row>
    <row r="434" spans="1:8" x14ac:dyDescent="0.35">
      <c r="A434" s="2" t="s">
        <v>111</v>
      </c>
      <c r="B434" s="3">
        <v>46255</v>
      </c>
      <c r="C434" s="2" t="s">
        <v>30</v>
      </c>
      <c r="D434" s="2" t="s">
        <v>22</v>
      </c>
      <c r="E434" t="str">
        <f>IF(OR(A434="", B434=""), "Check missing data", IF(COUNTIFS($A$2:A434, A434, $B$2:B434, B434)&gt;1, "Possible Duplicate", "First Occurrence"))</f>
        <v>First Occurrence</v>
      </c>
      <c r="F434" t="str">
        <f t="shared" si="12"/>
        <v>On Leave</v>
      </c>
      <c r="H434" t="str">
        <f t="shared" si="13"/>
        <v>IT</v>
      </c>
    </row>
    <row r="435" spans="1:8" x14ac:dyDescent="0.35">
      <c r="A435" s="2" t="s">
        <v>111</v>
      </c>
      <c r="B435" s="3">
        <v>46260</v>
      </c>
      <c r="C435" s="2" t="s">
        <v>30</v>
      </c>
      <c r="D435" s="2" t="s">
        <v>22</v>
      </c>
      <c r="E435" t="str">
        <f>IF(OR(A435="", B435=""), "Check missing data", IF(COUNTIFS($A$2:A435, A435, $B$2:B435, B435)&gt;1, "Possible Duplicate", "First Occurrence"))</f>
        <v>First Occurrence</v>
      </c>
      <c r="F435" t="str">
        <f t="shared" si="12"/>
        <v>On Leave</v>
      </c>
      <c r="H435" t="str">
        <f t="shared" si="13"/>
        <v>IT</v>
      </c>
    </row>
    <row r="436" spans="1:8" x14ac:dyDescent="0.35">
      <c r="A436" s="2" t="s">
        <v>111</v>
      </c>
      <c r="B436" s="3">
        <v>46217</v>
      </c>
      <c r="C436" s="2" t="s">
        <v>246</v>
      </c>
      <c r="D436" s="2" t="s">
        <v>22</v>
      </c>
      <c r="E436" t="str">
        <f>IF(OR(A436="", B436=""), "Check missing data", IF(COUNTIFS($A$2:A436, A436, $B$2:B436, B436)&gt;1, "Possible Duplicate", "First Occurrence"))</f>
        <v>First Occurrence</v>
      </c>
      <c r="F436" t="str">
        <f t="shared" si="12"/>
        <v>Present</v>
      </c>
      <c r="H436" t="str">
        <f t="shared" si="13"/>
        <v>IT</v>
      </c>
    </row>
    <row r="437" spans="1:8" x14ac:dyDescent="0.35">
      <c r="A437" s="2" t="s">
        <v>111</v>
      </c>
      <c r="B437" s="3">
        <v>46275</v>
      </c>
      <c r="C437" s="2" t="s">
        <v>246</v>
      </c>
      <c r="D437" s="2" t="s">
        <v>22</v>
      </c>
      <c r="E437" t="str">
        <f>IF(OR(A437="", B437=""), "Check missing data", IF(COUNTIFS($A$2:A437, A437, $B$2:B437, B437)&gt;1, "Possible Duplicate", "First Occurrence"))</f>
        <v>First Occurrence</v>
      </c>
      <c r="F437" t="str">
        <f t="shared" si="12"/>
        <v>Present</v>
      </c>
      <c r="H437" t="str">
        <f t="shared" si="13"/>
        <v>IT</v>
      </c>
    </row>
    <row r="438" spans="1:8" x14ac:dyDescent="0.35">
      <c r="A438" s="2" t="s">
        <v>111</v>
      </c>
      <c r="B438" s="3">
        <v>46290</v>
      </c>
      <c r="C438" s="2" t="s">
        <v>246</v>
      </c>
      <c r="D438" s="2" t="s">
        <v>22</v>
      </c>
      <c r="E438" t="str">
        <f>IF(OR(A438="", B438=""), "Check missing data", IF(COUNTIFS($A$2:A438, A438, $B$2:B438, B438)&gt;1, "Possible Duplicate", "First Occurrence"))</f>
        <v>First Occurrence</v>
      </c>
      <c r="F438" t="str">
        <f t="shared" si="12"/>
        <v>Present</v>
      </c>
      <c r="H438" t="str">
        <f t="shared" si="13"/>
        <v>IT</v>
      </c>
    </row>
    <row r="439" spans="1:8" x14ac:dyDescent="0.35">
      <c r="A439" s="2" t="s">
        <v>111</v>
      </c>
      <c r="B439" s="3">
        <v>46282</v>
      </c>
      <c r="C439" s="2" t="s">
        <v>247</v>
      </c>
      <c r="D439" s="2" t="s">
        <v>22</v>
      </c>
      <c r="E439" t="str">
        <f>IF(OR(A439="", B439=""), "Check missing data", IF(COUNTIFS($A$2:A439, A439, $B$2:B439, B439)&gt;1, "Possible Duplicate", "First Occurrence"))</f>
        <v>First Occurrence</v>
      </c>
      <c r="F439" t="str">
        <f t="shared" si="12"/>
        <v>Late</v>
      </c>
      <c r="H439" t="str">
        <f t="shared" si="13"/>
        <v>IT</v>
      </c>
    </row>
    <row r="440" spans="1:8" x14ac:dyDescent="0.35">
      <c r="A440" s="2" t="s">
        <v>111</v>
      </c>
      <c r="B440" s="3">
        <v>46293</v>
      </c>
      <c r="C440" s="2" t="s">
        <v>245</v>
      </c>
      <c r="D440" s="2" t="s">
        <v>22</v>
      </c>
      <c r="E440" t="str">
        <f>IF(OR(A440="", B440=""), "Check missing data", IF(COUNTIFS($A$2:A440, A440, $B$2:B440, B440)&gt;1, "Possible Duplicate", "First Occurrence"))</f>
        <v>First Occurrence</v>
      </c>
      <c r="F440" t="str">
        <f t="shared" si="12"/>
        <v>Absent</v>
      </c>
      <c r="H440" t="str">
        <f t="shared" si="13"/>
        <v>IT</v>
      </c>
    </row>
    <row r="441" spans="1:8" x14ac:dyDescent="0.35">
      <c r="A441" s="2" t="s">
        <v>111</v>
      </c>
      <c r="B441" s="3">
        <v>46258</v>
      </c>
      <c r="C441" s="2" t="s">
        <v>30</v>
      </c>
      <c r="D441" s="2" t="s">
        <v>22</v>
      </c>
      <c r="E441" t="str">
        <f>IF(OR(A441="", B441=""), "Check missing data", IF(COUNTIFS($A$2:A441, A441, $B$2:B441, B441)&gt;1, "Possible Duplicate", "First Occurrence"))</f>
        <v>First Occurrence</v>
      </c>
      <c r="F441" t="str">
        <f t="shared" si="12"/>
        <v>On Leave</v>
      </c>
      <c r="H441" t="str">
        <f t="shared" si="13"/>
        <v>IT</v>
      </c>
    </row>
    <row r="442" spans="1:8" x14ac:dyDescent="0.35">
      <c r="A442" s="2" t="s">
        <v>111</v>
      </c>
      <c r="B442" s="3">
        <v>46205</v>
      </c>
      <c r="C442" s="2" t="s">
        <v>246</v>
      </c>
      <c r="D442" s="2" t="s">
        <v>22</v>
      </c>
      <c r="E442" t="str">
        <f>IF(OR(A442="", B442=""), "Check missing data", IF(COUNTIFS($A$2:A442, A442, $B$2:B442, B442)&gt;1, "Possible Duplicate", "First Occurrence"))</f>
        <v>First Occurrence</v>
      </c>
      <c r="F442" t="str">
        <f t="shared" si="12"/>
        <v>Present</v>
      </c>
      <c r="H442" t="str">
        <f t="shared" si="13"/>
        <v>IT</v>
      </c>
    </row>
    <row r="443" spans="1:8" x14ac:dyDescent="0.35">
      <c r="A443" s="2" t="s">
        <v>111</v>
      </c>
      <c r="B443" s="3">
        <v>46220</v>
      </c>
      <c r="C443" s="2" t="s">
        <v>246</v>
      </c>
      <c r="D443" s="2" t="s">
        <v>22</v>
      </c>
      <c r="E443" t="str">
        <f>IF(OR(A443="", B443=""), "Check missing data", IF(COUNTIFS($A$2:A443, A443, $B$2:B443, B443)&gt;1, "Possible Duplicate", "First Occurrence"))</f>
        <v>First Occurrence</v>
      </c>
      <c r="F443" t="str">
        <f t="shared" si="12"/>
        <v>Present</v>
      </c>
      <c r="H443" t="str">
        <f t="shared" si="13"/>
        <v>IT</v>
      </c>
    </row>
    <row r="444" spans="1:8" x14ac:dyDescent="0.35">
      <c r="A444" s="2" t="s">
        <v>111</v>
      </c>
      <c r="B444" s="3">
        <v>46274</v>
      </c>
      <c r="C444" s="2" t="s">
        <v>246</v>
      </c>
      <c r="D444" s="2" t="s">
        <v>22</v>
      </c>
      <c r="E444" t="str">
        <f>IF(OR(A444="", B444=""), "Check missing data", IF(COUNTIFS($A$2:A444, A444, $B$2:B444, B444)&gt;1, "Possible Duplicate", "First Occurrence"))</f>
        <v>First Occurrence</v>
      </c>
      <c r="F444" t="str">
        <f t="shared" si="12"/>
        <v>Present</v>
      </c>
      <c r="H444" t="str">
        <f t="shared" si="13"/>
        <v>IT</v>
      </c>
    </row>
    <row r="445" spans="1:8" x14ac:dyDescent="0.35">
      <c r="A445" s="2" t="s">
        <v>111</v>
      </c>
      <c r="B445" s="3">
        <v>46287</v>
      </c>
      <c r="C445" s="2" t="s">
        <v>245</v>
      </c>
      <c r="D445" s="2" t="s">
        <v>22</v>
      </c>
      <c r="E445" t="str">
        <f>IF(OR(A445="", B445=""), "Check missing data", IF(COUNTIFS($A$2:A445, A445, $B$2:B445, B445)&gt;1, "Possible Duplicate", "First Occurrence"))</f>
        <v>First Occurrence</v>
      </c>
      <c r="F445" t="str">
        <f t="shared" si="12"/>
        <v>Absent</v>
      </c>
      <c r="H445" t="str">
        <f t="shared" si="13"/>
        <v>IT</v>
      </c>
    </row>
    <row r="446" spans="1:8" x14ac:dyDescent="0.35">
      <c r="A446" s="2" t="s">
        <v>113</v>
      </c>
      <c r="B446" s="3">
        <v>46205</v>
      </c>
      <c r="C446" s="2" t="s">
        <v>245</v>
      </c>
      <c r="D446" s="2" t="s">
        <v>37</v>
      </c>
      <c r="E446" t="str">
        <f>IF(OR(A446="", B446=""), "Check missing data", IF(COUNTIFS($A$2:A446, A446, $B$2:B446, B446)&gt;1, "Possible Duplicate", "First Occurrence"))</f>
        <v>First Occurrence</v>
      </c>
      <c r="F446" t="str">
        <f t="shared" si="12"/>
        <v>Absent</v>
      </c>
      <c r="H446" t="str">
        <f t="shared" si="13"/>
        <v>Customer Support</v>
      </c>
    </row>
    <row r="447" spans="1:8" x14ac:dyDescent="0.35">
      <c r="A447" s="2" t="s">
        <v>113</v>
      </c>
      <c r="B447" s="3">
        <v>46287</v>
      </c>
      <c r="C447" s="2" t="s">
        <v>246</v>
      </c>
      <c r="D447" s="2" t="s">
        <v>37</v>
      </c>
      <c r="E447" t="str">
        <f>IF(OR(A447="", B447=""), "Check missing data", IF(COUNTIFS($A$2:A447, A447, $B$2:B447, B447)&gt;1, "Possible Duplicate", "First Occurrence"))</f>
        <v>First Occurrence</v>
      </c>
      <c r="F447" t="str">
        <f t="shared" si="12"/>
        <v>Present</v>
      </c>
      <c r="H447" t="str">
        <f t="shared" si="13"/>
        <v>Customer Support</v>
      </c>
    </row>
    <row r="448" spans="1:8" x14ac:dyDescent="0.35">
      <c r="A448" s="2" t="s">
        <v>113</v>
      </c>
      <c r="B448" s="3">
        <v>46209</v>
      </c>
      <c r="C448" s="2" t="s">
        <v>246</v>
      </c>
      <c r="D448" s="2" t="s">
        <v>37</v>
      </c>
      <c r="E448" t="str">
        <f>IF(OR(A448="", B448=""), "Check missing data", IF(COUNTIFS($A$2:A448, A448, $B$2:B448, B448)&gt;1, "Possible Duplicate", "First Occurrence"))</f>
        <v>First Occurrence</v>
      </c>
      <c r="F448" t="str">
        <f t="shared" si="12"/>
        <v>Present</v>
      </c>
      <c r="H448" t="str">
        <f t="shared" si="13"/>
        <v>Customer Support</v>
      </c>
    </row>
    <row r="449" spans="1:8" x14ac:dyDescent="0.35">
      <c r="A449" s="2" t="s">
        <v>113</v>
      </c>
      <c r="B449" s="3">
        <v>46224</v>
      </c>
      <c r="C449" s="2" t="s">
        <v>246</v>
      </c>
      <c r="D449" s="2" t="s">
        <v>37</v>
      </c>
      <c r="E449" t="str">
        <f>IF(OR(A449="", B449=""), "Check missing data", IF(COUNTIFS($A$2:A449, A449, $B$2:B449, B449)&gt;1, "Possible Duplicate", "First Occurrence"))</f>
        <v>First Occurrence</v>
      </c>
      <c r="F449" t="str">
        <f t="shared" si="12"/>
        <v>Present</v>
      </c>
      <c r="H449" t="str">
        <f t="shared" si="13"/>
        <v>Customer Support</v>
      </c>
    </row>
    <row r="450" spans="1:8" x14ac:dyDescent="0.35">
      <c r="A450" s="2" t="s">
        <v>113</v>
      </c>
      <c r="B450" s="3">
        <v>46245</v>
      </c>
      <c r="C450" s="2" t="s">
        <v>245</v>
      </c>
      <c r="D450" s="2" t="s">
        <v>37</v>
      </c>
      <c r="E450" t="str">
        <f>IF(OR(A450="", B450=""), "Check missing data", IF(COUNTIFS($A$2:A450, A450, $B$2:B450, B450)&gt;1, "Possible Duplicate", "First Occurrence"))</f>
        <v>First Occurrence</v>
      </c>
      <c r="F450" t="str">
        <f t="shared" si="12"/>
        <v>Absent</v>
      </c>
      <c r="H450" t="str">
        <f t="shared" si="13"/>
        <v>Customer Support</v>
      </c>
    </row>
    <row r="451" spans="1:8" x14ac:dyDescent="0.35">
      <c r="A451" s="2" t="s">
        <v>113</v>
      </c>
      <c r="B451" s="3">
        <v>46211</v>
      </c>
      <c r="C451" s="2" t="s">
        <v>30</v>
      </c>
      <c r="D451" s="2" t="s">
        <v>37</v>
      </c>
      <c r="E451" t="str">
        <f>IF(OR(A451="", B451=""), "Check missing data", IF(COUNTIFS($A$2:A451, A451, $B$2:B451, B451)&gt;1, "Possible Duplicate", "First Occurrence"))</f>
        <v>First Occurrence</v>
      </c>
      <c r="F451" t="str">
        <f t="shared" ref="F451:F514" si="14">PROPER(TRIM(C451))</f>
        <v>On Leave</v>
      </c>
      <c r="H451" t="str">
        <f t="shared" ref="H451:H514" si="15">TRIM(CLEAN(D451))</f>
        <v>Customer Support</v>
      </c>
    </row>
    <row r="452" spans="1:8" x14ac:dyDescent="0.35">
      <c r="A452" s="2" t="s">
        <v>113</v>
      </c>
      <c r="B452" s="3">
        <v>46206</v>
      </c>
      <c r="C452" s="2" t="s">
        <v>246</v>
      </c>
      <c r="D452" s="2" t="s">
        <v>37</v>
      </c>
      <c r="E452" t="str">
        <f>IF(OR(A452="", B452=""), "Check missing data", IF(COUNTIFS($A$2:A452, A452, $B$2:B452, B452)&gt;1, "Possible Duplicate", "First Occurrence"))</f>
        <v>First Occurrence</v>
      </c>
      <c r="F452" t="str">
        <f t="shared" si="14"/>
        <v>Present</v>
      </c>
      <c r="H452" t="str">
        <f t="shared" si="15"/>
        <v>Customer Support</v>
      </c>
    </row>
    <row r="453" spans="1:8" x14ac:dyDescent="0.35">
      <c r="A453" s="2" t="s">
        <v>113</v>
      </c>
      <c r="B453" s="3">
        <v>46275</v>
      </c>
      <c r="C453" s="2" t="s">
        <v>245</v>
      </c>
      <c r="D453" s="2" t="s">
        <v>37</v>
      </c>
      <c r="E453" t="str">
        <f>IF(OR(A453="", B453=""), "Check missing data", IF(COUNTIFS($A$2:A453, A453, $B$2:B453, B453)&gt;1, "Possible Duplicate", "First Occurrence"))</f>
        <v>First Occurrence</v>
      </c>
      <c r="F453" t="str">
        <f t="shared" si="14"/>
        <v>Absent</v>
      </c>
      <c r="H453" t="str">
        <f t="shared" si="15"/>
        <v>Customer Support</v>
      </c>
    </row>
    <row r="454" spans="1:8" x14ac:dyDescent="0.35">
      <c r="A454" s="2" t="s">
        <v>113</v>
      </c>
      <c r="B454" s="3">
        <v>46273</v>
      </c>
      <c r="C454" s="2" t="s">
        <v>246</v>
      </c>
      <c r="D454" s="2" t="s">
        <v>37</v>
      </c>
      <c r="E454" t="str">
        <f>IF(OR(A454="", B454=""), "Check missing data", IF(COUNTIFS($A$2:A454, A454, $B$2:B454, B454)&gt;1, "Possible Duplicate", "First Occurrence"))</f>
        <v>First Occurrence</v>
      </c>
      <c r="F454" t="str">
        <f t="shared" si="14"/>
        <v>Present</v>
      </c>
      <c r="H454" t="str">
        <f t="shared" si="15"/>
        <v>Customer Support</v>
      </c>
    </row>
    <row r="455" spans="1:8" x14ac:dyDescent="0.35">
      <c r="A455" s="2" t="s">
        <v>113</v>
      </c>
      <c r="B455" s="3">
        <v>46210</v>
      </c>
      <c r="C455" s="2" t="s">
        <v>247</v>
      </c>
      <c r="D455" s="2" t="s">
        <v>37</v>
      </c>
      <c r="E455" t="str">
        <f>IF(OR(A455="", B455=""), "Check missing data", IF(COUNTIFS($A$2:A455, A455, $B$2:B455, B455)&gt;1, "Possible Duplicate", "First Occurrence"))</f>
        <v>First Occurrence</v>
      </c>
      <c r="F455" t="str">
        <f t="shared" si="14"/>
        <v>Late</v>
      </c>
      <c r="H455" t="str">
        <f t="shared" si="15"/>
        <v>Customer Support</v>
      </c>
    </row>
    <row r="456" spans="1:8" x14ac:dyDescent="0.35">
      <c r="A456" s="2" t="s">
        <v>113</v>
      </c>
      <c r="B456" s="3">
        <v>46241</v>
      </c>
      <c r="C456" s="2" t="s">
        <v>246</v>
      </c>
      <c r="D456" s="2" t="s">
        <v>37</v>
      </c>
      <c r="E456" t="str">
        <f>IF(OR(A456="", B456=""), "Check missing data", IF(COUNTIFS($A$2:A456, A456, $B$2:B456, B456)&gt;1, "Possible Duplicate", "First Occurrence"))</f>
        <v>First Occurrence</v>
      </c>
      <c r="F456" t="str">
        <f t="shared" si="14"/>
        <v>Present</v>
      </c>
      <c r="H456" t="str">
        <f t="shared" si="15"/>
        <v>Customer Support</v>
      </c>
    </row>
    <row r="457" spans="1:8" x14ac:dyDescent="0.35">
      <c r="A457" s="2" t="s">
        <v>113</v>
      </c>
      <c r="B457" s="3">
        <v>46227</v>
      </c>
      <c r="C457" s="2" t="s">
        <v>245</v>
      </c>
      <c r="D457" s="2" t="s">
        <v>37</v>
      </c>
      <c r="E457" t="str">
        <f>IF(OR(A457="", B457=""), "Check missing data", IF(COUNTIFS($A$2:A457, A457, $B$2:B457, B457)&gt;1, "Possible Duplicate", "First Occurrence"))</f>
        <v>First Occurrence</v>
      </c>
      <c r="F457" t="str">
        <f t="shared" si="14"/>
        <v>Absent</v>
      </c>
      <c r="H457" t="str">
        <f t="shared" si="15"/>
        <v>Customer Support</v>
      </c>
    </row>
    <row r="458" spans="1:8" x14ac:dyDescent="0.35">
      <c r="A458" s="2" t="s">
        <v>115</v>
      </c>
      <c r="B458" s="3">
        <v>46276</v>
      </c>
      <c r="C458" s="2" t="s">
        <v>246</v>
      </c>
      <c r="D458" s="2" t="s">
        <v>41</v>
      </c>
      <c r="E458" t="str">
        <f>IF(OR(A458="", B458=""), "Check missing data", IF(COUNTIFS($A$2:A458, A458, $B$2:B458, B458)&gt;1, "Possible Duplicate", "First Occurrence"))</f>
        <v>First Occurrence</v>
      </c>
      <c r="F458" t="str">
        <f t="shared" si="14"/>
        <v>Present</v>
      </c>
      <c r="H458" t="str">
        <f t="shared" si="15"/>
        <v>Human Resources</v>
      </c>
    </row>
    <row r="459" spans="1:8" x14ac:dyDescent="0.35">
      <c r="A459" s="2" t="s">
        <v>115</v>
      </c>
      <c r="B459" s="3">
        <v>46261</v>
      </c>
      <c r="C459" s="2" t="s">
        <v>30</v>
      </c>
      <c r="D459" s="2" t="s">
        <v>41</v>
      </c>
      <c r="E459" t="str">
        <f>IF(OR(A459="", B459=""), "Check missing data", IF(COUNTIFS($A$2:A459, A459, $B$2:B459, B459)&gt;1, "Possible Duplicate", "First Occurrence"))</f>
        <v>First Occurrence</v>
      </c>
      <c r="F459" t="str">
        <f t="shared" si="14"/>
        <v>On Leave</v>
      </c>
      <c r="H459" t="str">
        <f t="shared" si="15"/>
        <v>Human Resources</v>
      </c>
    </row>
    <row r="460" spans="1:8" x14ac:dyDescent="0.35">
      <c r="A460" s="2" t="s">
        <v>115</v>
      </c>
      <c r="B460" s="3">
        <v>46265</v>
      </c>
      <c r="C460" s="2" t="s">
        <v>245</v>
      </c>
      <c r="D460" s="2" t="s">
        <v>41</v>
      </c>
      <c r="E460" t="str">
        <f>IF(OR(A460="", B460=""), "Check missing data", IF(COUNTIFS($A$2:A460, A460, $B$2:B460, B460)&gt;1, "Possible Duplicate", "First Occurrence"))</f>
        <v>First Occurrence</v>
      </c>
      <c r="F460" t="str">
        <f t="shared" si="14"/>
        <v>Absent</v>
      </c>
      <c r="H460" t="str">
        <f t="shared" si="15"/>
        <v>Human Resources</v>
      </c>
    </row>
    <row r="461" spans="1:8" x14ac:dyDescent="0.35">
      <c r="A461" s="2" t="s">
        <v>115</v>
      </c>
      <c r="B461" s="3">
        <v>46272</v>
      </c>
      <c r="C461" s="2" t="s">
        <v>245</v>
      </c>
      <c r="D461" s="2" t="s">
        <v>41</v>
      </c>
      <c r="E461" t="str">
        <f>IF(OR(A461="", B461=""), "Check missing data", IF(COUNTIFS($A$2:A461, A461, $B$2:B461, B461)&gt;1, "Possible Duplicate", "First Occurrence"))</f>
        <v>First Occurrence</v>
      </c>
      <c r="F461" t="str">
        <f t="shared" si="14"/>
        <v>Absent</v>
      </c>
      <c r="H461" t="str">
        <f t="shared" si="15"/>
        <v>Human Resources</v>
      </c>
    </row>
    <row r="462" spans="1:8" x14ac:dyDescent="0.35">
      <c r="A462" s="2" t="s">
        <v>115</v>
      </c>
      <c r="B462" s="3">
        <v>46248</v>
      </c>
      <c r="C462" s="2" t="s">
        <v>246</v>
      </c>
      <c r="D462" s="2" t="s">
        <v>41</v>
      </c>
      <c r="E462" t="str">
        <f>IF(OR(A462="", B462=""), "Check missing data", IF(COUNTIFS($A$2:A462, A462, $B$2:B462, B462)&gt;1, "Possible Duplicate", "First Occurrence"))</f>
        <v>First Occurrence</v>
      </c>
      <c r="F462" t="str">
        <f t="shared" si="14"/>
        <v>Present</v>
      </c>
      <c r="H462" t="str">
        <f t="shared" si="15"/>
        <v>Human Resources</v>
      </c>
    </row>
    <row r="463" spans="1:8" x14ac:dyDescent="0.35">
      <c r="A463" s="2" t="s">
        <v>115</v>
      </c>
      <c r="B463" s="3">
        <v>46251</v>
      </c>
      <c r="C463" s="2" t="s">
        <v>246</v>
      </c>
      <c r="D463" s="2" t="s">
        <v>41</v>
      </c>
      <c r="E463" t="str">
        <f>IF(OR(A463="", B463=""), "Check missing data", IF(COUNTIFS($A$2:A463, A463, $B$2:B463, B463)&gt;1, "Possible Duplicate", "First Occurrence"))</f>
        <v>First Occurrence</v>
      </c>
      <c r="F463" t="str">
        <f t="shared" si="14"/>
        <v>Present</v>
      </c>
      <c r="H463" t="str">
        <f t="shared" si="15"/>
        <v>Human Resources</v>
      </c>
    </row>
    <row r="464" spans="1:8" x14ac:dyDescent="0.35">
      <c r="A464" s="2" t="s">
        <v>115</v>
      </c>
      <c r="B464" s="3">
        <v>46213</v>
      </c>
      <c r="C464" s="2" t="s">
        <v>245</v>
      </c>
      <c r="D464" s="2" t="s">
        <v>41</v>
      </c>
      <c r="E464" t="str">
        <f>IF(OR(A464="", B464=""), "Check missing data", IF(COUNTIFS($A$2:A464, A464, $B$2:B464, B464)&gt;1, "Possible Duplicate", "First Occurrence"))</f>
        <v>First Occurrence</v>
      </c>
      <c r="F464" t="str">
        <f t="shared" si="14"/>
        <v>Absent</v>
      </c>
      <c r="H464" t="str">
        <f t="shared" si="15"/>
        <v>Human Resources</v>
      </c>
    </row>
    <row r="465" spans="1:8" x14ac:dyDescent="0.35">
      <c r="A465" s="2" t="s">
        <v>115</v>
      </c>
      <c r="B465" s="3">
        <v>46230</v>
      </c>
      <c r="C465" s="2" t="s">
        <v>247</v>
      </c>
      <c r="D465" s="2" t="s">
        <v>41</v>
      </c>
      <c r="E465" t="str">
        <f>IF(OR(A465="", B465=""), "Check missing data", IF(COUNTIFS($A$2:A465, A465, $B$2:B465, B465)&gt;1, "Possible Duplicate", "First Occurrence"))</f>
        <v>First Occurrence</v>
      </c>
      <c r="F465" t="str">
        <f t="shared" si="14"/>
        <v>Late</v>
      </c>
      <c r="H465" t="str">
        <f t="shared" si="15"/>
        <v>Human Resources</v>
      </c>
    </row>
    <row r="466" spans="1:8" x14ac:dyDescent="0.35">
      <c r="A466" s="2" t="s">
        <v>115</v>
      </c>
      <c r="B466" s="3">
        <v>46252</v>
      </c>
      <c r="C466" s="2" t="s">
        <v>245</v>
      </c>
      <c r="D466" s="2" t="s">
        <v>41</v>
      </c>
      <c r="E466" t="str">
        <f>IF(OR(A466="", B466=""), "Check missing data", IF(COUNTIFS($A$2:A466, A466, $B$2:B466, B466)&gt;1, "Possible Duplicate", "First Occurrence"))</f>
        <v>First Occurrence</v>
      </c>
      <c r="F466" t="str">
        <f t="shared" si="14"/>
        <v>Absent</v>
      </c>
      <c r="H466" t="str">
        <f t="shared" si="15"/>
        <v>Human Resources</v>
      </c>
    </row>
    <row r="467" spans="1:8" x14ac:dyDescent="0.35">
      <c r="A467" s="2" t="s">
        <v>115</v>
      </c>
      <c r="B467" s="3">
        <v>46267</v>
      </c>
      <c r="C467" s="2" t="s">
        <v>247</v>
      </c>
      <c r="D467" s="2" t="s">
        <v>41</v>
      </c>
      <c r="E467" t="str">
        <f>IF(OR(A467="", B467=""), "Check missing data", IF(COUNTIFS($A$2:A467, A467, $B$2:B467, B467)&gt;1, "Possible Duplicate", "First Occurrence"))</f>
        <v>First Occurrence</v>
      </c>
      <c r="F467" t="str">
        <f t="shared" si="14"/>
        <v>Late</v>
      </c>
      <c r="H467" t="str">
        <f t="shared" si="15"/>
        <v>Human Resources</v>
      </c>
    </row>
    <row r="468" spans="1:8" x14ac:dyDescent="0.35">
      <c r="A468" s="2" t="s">
        <v>115</v>
      </c>
      <c r="B468" s="3">
        <v>46254</v>
      </c>
      <c r="C468" s="2" t="s">
        <v>246</v>
      </c>
      <c r="D468" s="2" t="s">
        <v>41</v>
      </c>
      <c r="E468" t="str">
        <f>IF(OR(A468="", B468=""), "Check missing data", IF(COUNTIFS($A$2:A468, A468, $B$2:B468, B468)&gt;1, "Possible Duplicate", "First Occurrence"))</f>
        <v>First Occurrence</v>
      </c>
      <c r="F468" t="str">
        <f t="shared" si="14"/>
        <v>Present</v>
      </c>
      <c r="H468" t="str">
        <f t="shared" si="15"/>
        <v>Human Resources</v>
      </c>
    </row>
    <row r="469" spans="1:8" x14ac:dyDescent="0.35">
      <c r="A469" s="2" t="s">
        <v>115</v>
      </c>
      <c r="B469" s="3">
        <v>46279</v>
      </c>
      <c r="C469" s="2" t="s">
        <v>246</v>
      </c>
      <c r="D469" s="2" t="s">
        <v>41</v>
      </c>
      <c r="E469" t="str">
        <f>IF(OR(A469="", B469=""), "Check missing data", IF(COUNTIFS($A$2:A469, A469, $B$2:B469, B469)&gt;1, "Possible Duplicate", "First Occurrence"))</f>
        <v>First Occurrence</v>
      </c>
      <c r="F469" t="str">
        <f t="shared" si="14"/>
        <v>Present</v>
      </c>
      <c r="H469" t="str">
        <f t="shared" si="15"/>
        <v>Human Resources</v>
      </c>
    </row>
    <row r="470" spans="1:8" x14ac:dyDescent="0.35">
      <c r="A470" s="2" t="s">
        <v>117</v>
      </c>
      <c r="B470" s="3">
        <v>46294</v>
      </c>
      <c r="C470" s="2" t="s">
        <v>30</v>
      </c>
      <c r="D470" s="2" t="s">
        <v>22</v>
      </c>
      <c r="E470" t="str">
        <f>IF(OR(A470="", B470=""), "Check missing data", IF(COUNTIFS($A$2:A470, A470, $B$2:B470, B470)&gt;1, "Possible Duplicate", "First Occurrence"))</f>
        <v>First Occurrence</v>
      </c>
      <c r="F470" t="str">
        <f t="shared" si="14"/>
        <v>On Leave</v>
      </c>
      <c r="H470" t="str">
        <f t="shared" si="15"/>
        <v>IT</v>
      </c>
    </row>
    <row r="471" spans="1:8" x14ac:dyDescent="0.35">
      <c r="A471" s="2" t="s">
        <v>117</v>
      </c>
      <c r="B471" s="3">
        <v>46226</v>
      </c>
      <c r="C471" s="2" t="s">
        <v>247</v>
      </c>
      <c r="D471" s="2" t="s">
        <v>22</v>
      </c>
      <c r="E471" t="str">
        <f>IF(OR(A471="", B471=""), "Check missing data", IF(COUNTIFS($A$2:A471, A471, $B$2:B471, B471)&gt;1, "Possible Duplicate", "First Occurrence"))</f>
        <v>First Occurrence</v>
      </c>
      <c r="F471" t="str">
        <f t="shared" si="14"/>
        <v>Late</v>
      </c>
      <c r="H471" t="str">
        <f t="shared" si="15"/>
        <v>IT</v>
      </c>
    </row>
    <row r="472" spans="1:8" x14ac:dyDescent="0.35">
      <c r="A472" s="2" t="s">
        <v>117</v>
      </c>
      <c r="B472" s="3">
        <v>46205</v>
      </c>
      <c r="C472" s="2" t="s">
        <v>246</v>
      </c>
      <c r="D472" s="2" t="s">
        <v>22</v>
      </c>
      <c r="E472" t="str">
        <f>IF(OR(A472="", B472=""), "Check missing data", IF(COUNTIFS($A$2:A472, A472, $B$2:B472, B472)&gt;1, "Possible Duplicate", "First Occurrence"))</f>
        <v>First Occurrence</v>
      </c>
      <c r="F472" t="str">
        <f t="shared" si="14"/>
        <v>Present</v>
      </c>
      <c r="H472" t="str">
        <f t="shared" si="15"/>
        <v>IT</v>
      </c>
    </row>
    <row r="473" spans="1:8" x14ac:dyDescent="0.35">
      <c r="A473" s="2" t="s">
        <v>117</v>
      </c>
      <c r="B473" s="3">
        <v>46212</v>
      </c>
      <c r="C473" s="2" t="s">
        <v>246</v>
      </c>
      <c r="D473" s="2" t="s">
        <v>22</v>
      </c>
      <c r="E473" t="str">
        <f>IF(OR(A473="", B473=""), "Check missing data", IF(COUNTIFS($A$2:A473, A473, $B$2:B473, B473)&gt;1, "Possible Duplicate", "First Occurrence"))</f>
        <v>First Occurrence</v>
      </c>
      <c r="F473" t="str">
        <f t="shared" si="14"/>
        <v>Present</v>
      </c>
      <c r="H473" t="str">
        <f t="shared" si="15"/>
        <v>IT</v>
      </c>
    </row>
    <row r="474" spans="1:8" x14ac:dyDescent="0.35">
      <c r="A474" s="2" t="s">
        <v>117</v>
      </c>
      <c r="B474" s="3">
        <v>46233</v>
      </c>
      <c r="C474" s="2" t="s">
        <v>246</v>
      </c>
      <c r="D474" s="2" t="s">
        <v>22</v>
      </c>
      <c r="E474" t="str">
        <f>IF(OR(A474="", B474=""), "Check missing data", IF(COUNTIFS($A$2:A474, A474, $B$2:B474, B474)&gt;1, "Possible Duplicate", "First Occurrence"))</f>
        <v>First Occurrence</v>
      </c>
      <c r="F474" t="str">
        <f t="shared" si="14"/>
        <v>Present</v>
      </c>
      <c r="H474" t="str">
        <f t="shared" si="15"/>
        <v>IT</v>
      </c>
    </row>
    <row r="475" spans="1:8" x14ac:dyDescent="0.35">
      <c r="A475" s="2" t="s">
        <v>117</v>
      </c>
      <c r="B475" s="3">
        <v>46223</v>
      </c>
      <c r="C475" s="2" t="s">
        <v>246</v>
      </c>
      <c r="D475" s="2" t="s">
        <v>22</v>
      </c>
      <c r="E475" t="str">
        <f>IF(OR(A475="", B475=""), "Check missing data", IF(COUNTIFS($A$2:A475, A475, $B$2:B475, B475)&gt;1, "Possible Duplicate", "First Occurrence"))</f>
        <v>First Occurrence</v>
      </c>
      <c r="F475" t="str">
        <f t="shared" si="14"/>
        <v>Present</v>
      </c>
      <c r="H475" t="str">
        <f t="shared" si="15"/>
        <v>IT</v>
      </c>
    </row>
    <row r="476" spans="1:8" x14ac:dyDescent="0.35">
      <c r="A476" s="2" t="s">
        <v>117</v>
      </c>
      <c r="B476" s="3">
        <v>46269</v>
      </c>
      <c r="C476" s="2" t="s">
        <v>246</v>
      </c>
      <c r="D476" s="2" t="s">
        <v>22</v>
      </c>
      <c r="E476" t="str">
        <f>IF(OR(A476="", B476=""), "Check missing data", IF(COUNTIFS($A$2:A476, A476, $B$2:B476, B476)&gt;1, "Possible Duplicate", "First Occurrence"))</f>
        <v>First Occurrence</v>
      </c>
      <c r="F476" t="str">
        <f t="shared" si="14"/>
        <v>Present</v>
      </c>
      <c r="H476" t="str">
        <f t="shared" si="15"/>
        <v>IT</v>
      </c>
    </row>
    <row r="477" spans="1:8" x14ac:dyDescent="0.35">
      <c r="A477" s="2" t="s">
        <v>117</v>
      </c>
      <c r="B477" s="3">
        <v>46283</v>
      </c>
      <c r="C477" s="2" t="s">
        <v>247</v>
      </c>
      <c r="D477" s="2" t="s">
        <v>22</v>
      </c>
      <c r="E477" t="str">
        <f>IF(OR(A477="", B477=""), "Check missing data", IF(COUNTIFS($A$2:A477, A477, $B$2:B477, B477)&gt;1, "Possible Duplicate", "First Occurrence"))</f>
        <v>First Occurrence</v>
      </c>
      <c r="F477" t="str">
        <f t="shared" si="14"/>
        <v>Late</v>
      </c>
      <c r="H477" t="str">
        <f t="shared" si="15"/>
        <v>IT</v>
      </c>
    </row>
    <row r="478" spans="1:8" x14ac:dyDescent="0.35">
      <c r="A478" s="2" t="s">
        <v>117</v>
      </c>
      <c r="B478" s="3">
        <v>46267</v>
      </c>
      <c r="C478" s="2" t="s">
        <v>246</v>
      </c>
      <c r="D478" s="2" t="s">
        <v>22</v>
      </c>
      <c r="E478" t="str">
        <f>IF(OR(A478="", B478=""), "Check missing data", IF(COUNTIFS($A$2:A478, A478, $B$2:B478, B478)&gt;1, "Possible Duplicate", "First Occurrence"))</f>
        <v>First Occurrence</v>
      </c>
      <c r="F478" t="str">
        <f t="shared" si="14"/>
        <v>Present</v>
      </c>
      <c r="H478" t="str">
        <f t="shared" si="15"/>
        <v>IT</v>
      </c>
    </row>
    <row r="479" spans="1:8" x14ac:dyDescent="0.35">
      <c r="A479" s="2" t="s">
        <v>117</v>
      </c>
      <c r="B479" s="3">
        <v>46282</v>
      </c>
      <c r="C479" s="2" t="s">
        <v>246</v>
      </c>
      <c r="D479" s="2" t="s">
        <v>22</v>
      </c>
      <c r="E479" t="str">
        <f>IF(OR(A479="", B479=""), "Check missing data", IF(COUNTIFS($A$2:A479, A479, $B$2:B479, B479)&gt;1, "Possible Duplicate", "First Occurrence"))</f>
        <v>First Occurrence</v>
      </c>
      <c r="F479" t="str">
        <f t="shared" si="14"/>
        <v>Present</v>
      </c>
      <c r="H479" t="str">
        <f t="shared" si="15"/>
        <v>IT</v>
      </c>
    </row>
    <row r="480" spans="1:8" x14ac:dyDescent="0.35">
      <c r="A480" s="2" t="s">
        <v>117</v>
      </c>
      <c r="B480" s="3">
        <v>46225</v>
      </c>
      <c r="C480" s="2" t="s">
        <v>246</v>
      </c>
      <c r="D480" s="2" t="s">
        <v>22</v>
      </c>
      <c r="E480" t="str">
        <f>IF(OR(A480="", B480=""), "Check missing data", IF(COUNTIFS($A$2:A480, A480, $B$2:B480, B480)&gt;1, "Possible Duplicate", "First Occurrence"))</f>
        <v>First Occurrence</v>
      </c>
      <c r="F480" t="str">
        <f t="shared" si="14"/>
        <v>Present</v>
      </c>
      <c r="H480" t="str">
        <f t="shared" si="15"/>
        <v>IT</v>
      </c>
    </row>
    <row r="481" spans="1:8" x14ac:dyDescent="0.35">
      <c r="A481" s="2" t="s">
        <v>117</v>
      </c>
      <c r="B481" s="3">
        <v>46259</v>
      </c>
      <c r="C481" s="2" t="s">
        <v>247</v>
      </c>
      <c r="D481" s="2" t="s">
        <v>22</v>
      </c>
      <c r="E481" t="str">
        <f>IF(OR(A481="", B481=""), "Check missing data", IF(COUNTIFS($A$2:A481, A481, $B$2:B481, B481)&gt;1, "Possible Duplicate", "First Occurrence"))</f>
        <v>First Occurrence</v>
      </c>
      <c r="F481" t="str">
        <f t="shared" si="14"/>
        <v>Late</v>
      </c>
      <c r="H481" t="str">
        <f t="shared" si="15"/>
        <v>IT</v>
      </c>
    </row>
    <row r="482" spans="1:8" x14ac:dyDescent="0.35">
      <c r="A482" s="2" t="s">
        <v>119</v>
      </c>
      <c r="B482" s="3">
        <v>46276</v>
      </c>
      <c r="C482" s="2" t="s">
        <v>246</v>
      </c>
      <c r="D482" s="2" t="s">
        <v>17</v>
      </c>
      <c r="E482" t="str">
        <f>IF(OR(A482="", B482=""), "Check missing data", IF(COUNTIFS($A$2:A482, A482, $B$2:B482, B482)&gt;1, "Possible Duplicate", "First Occurrence"))</f>
        <v>First Occurrence</v>
      </c>
      <c r="F482" t="str">
        <f t="shared" si="14"/>
        <v>Present</v>
      </c>
      <c r="H482" t="str">
        <f t="shared" si="15"/>
        <v>Finance</v>
      </c>
    </row>
    <row r="483" spans="1:8" x14ac:dyDescent="0.35">
      <c r="A483" s="2" t="s">
        <v>119</v>
      </c>
      <c r="B483" s="3">
        <v>46234</v>
      </c>
      <c r="C483" s="2" t="s">
        <v>246</v>
      </c>
      <c r="D483" s="2" t="s">
        <v>17</v>
      </c>
      <c r="E483" t="str">
        <f>IF(OR(A483="", B483=""), "Check missing data", IF(COUNTIFS($A$2:A483, A483, $B$2:B483, B483)&gt;1, "Possible Duplicate", "First Occurrence"))</f>
        <v>First Occurrence</v>
      </c>
      <c r="F483" t="str">
        <f t="shared" si="14"/>
        <v>Present</v>
      </c>
      <c r="H483" t="str">
        <f t="shared" si="15"/>
        <v>Finance</v>
      </c>
    </row>
    <row r="484" spans="1:8" x14ac:dyDescent="0.35">
      <c r="A484" s="2" t="s">
        <v>119</v>
      </c>
      <c r="B484" s="3">
        <v>46279</v>
      </c>
      <c r="C484" s="2" t="s">
        <v>246</v>
      </c>
      <c r="D484" s="2" t="s">
        <v>17</v>
      </c>
      <c r="E484" t="str">
        <f>IF(OR(A484="", B484=""), "Check missing data", IF(COUNTIFS($A$2:A484, A484, $B$2:B484, B484)&gt;1, "Possible Duplicate", "First Occurrence"))</f>
        <v>First Occurrence</v>
      </c>
      <c r="F484" t="str">
        <f t="shared" si="14"/>
        <v>Present</v>
      </c>
      <c r="H484" t="str">
        <f t="shared" si="15"/>
        <v>Finance</v>
      </c>
    </row>
    <row r="485" spans="1:8" x14ac:dyDescent="0.35">
      <c r="A485" s="2" t="s">
        <v>119</v>
      </c>
      <c r="B485" s="3">
        <v>46225</v>
      </c>
      <c r="C485" s="2" t="s">
        <v>246</v>
      </c>
      <c r="D485" s="2" t="s">
        <v>17</v>
      </c>
      <c r="E485" t="str">
        <f>IF(OR(A485="", B485=""), "Check missing data", IF(COUNTIFS($A$2:A485, A485, $B$2:B485, B485)&gt;1, "Possible Duplicate", "First Occurrence"))</f>
        <v>First Occurrence</v>
      </c>
      <c r="F485" t="str">
        <f t="shared" si="14"/>
        <v>Present</v>
      </c>
      <c r="H485" t="str">
        <f t="shared" si="15"/>
        <v>Finance</v>
      </c>
    </row>
    <row r="486" spans="1:8" x14ac:dyDescent="0.35">
      <c r="A486" s="2" t="s">
        <v>119</v>
      </c>
      <c r="B486" s="3">
        <v>46272</v>
      </c>
      <c r="C486" s="2" t="s">
        <v>246</v>
      </c>
      <c r="D486" s="2" t="s">
        <v>17</v>
      </c>
      <c r="E486" t="str">
        <f>IF(OR(A486="", B486=""), "Check missing data", IF(COUNTIFS($A$2:A486, A486, $B$2:B486, B486)&gt;1, "Possible Duplicate", "First Occurrence"))</f>
        <v>First Occurrence</v>
      </c>
      <c r="F486" t="str">
        <f t="shared" si="14"/>
        <v>Present</v>
      </c>
      <c r="H486" t="str">
        <f t="shared" si="15"/>
        <v>Finance</v>
      </c>
    </row>
    <row r="487" spans="1:8" x14ac:dyDescent="0.35">
      <c r="A487" s="2" t="s">
        <v>119</v>
      </c>
      <c r="B487" s="3">
        <v>46246</v>
      </c>
      <c r="C487" s="2" t="s">
        <v>246</v>
      </c>
      <c r="D487" s="2" t="s">
        <v>17</v>
      </c>
      <c r="E487" t="str">
        <f>IF(OR(A487="", B487=""), "Check missing data", IF(COUNTIFS($A$2:A487, A487, $B$2:B487, B487)&gt;1, "Possible Duplicate", "First Occurrence"))</f>
        <v>First Occurrence</v>
      </c>
      <c r="F487" t="str">
        <f t="shared" si="14"/>
        <v>Present</v>
      </c>
      <c r="H487" t="str">
        <f t="shared" si="15"/>
        <v>Finance</v>
      </c>
    </row>
    <row r="488" spans="1:8" x14ac:dyDescent="0.35">
      <c r="A488" s="2" t="s">
        <v>119</v>
      </c>
      <c r="B488" s="3">
        <v>46238</v>
      </c>
      <c r="C488" s="2" t="s">
        <v>246</v>
      </c>
      <c r="D488" s="2" t="s">
        <v>17</v>
      </c>
      <c r="E488" t="str">
        <f>IF(OR(A488="", B488=""), "Check missing data", IF(COUNTIFS($A$2:A488, A488, $B$2:B488, B488)&gt;1, "Possible Duplicate", "First Occurrence"))</f>
        <v>First Occurrence</v>
      </c>
      <c r="F488" t="str">
        <f t="shared" si="14"/>
        <v>Present</v>
      </c>
      <c r="H488" t="str">
        <f t="shared" si="15"/>
        <v>Finance</v>
      </c>
    </row>
    <row r="489" spans="1:8" x14ac:dyDescent="0.35">
      <c r="A489" s="2" t="s">
        <v>119</v>
      </c>
      <c r="B489" s="3">
        <v>46205</v>
      </c>
      <c r="C489" s="2" t="s">
        <v>247</v>
      </c>
      <c r="D489" s="2" t="s">
        <v>17</v>
      </c>
      <c r="E489" t="str">
        <f>IF(OR(A489="", B489=""), "Check missing data", IF(COUNTIFS($A$2:A489, A489, $B$2:B489, B489)&gt;1, "Possible Duplicate", "First Occurrence"))</f>
        <v>First Occurrence</v>
      </c>
      <c r="F489" t="str">
        <f t="shared" si="14"/>
        <v>Late</v>
      </c>
      <c r="H489" t="str">
        <f t="shared" si="15"/>
        <v>Finance</v>
      </c>
    </row>
    <row r="490" spans="1:8" x14ac:dyDescent="0.35">
      <c r="A490" s="2" t="s">
        <v>119</v>
      </c>
      <c r="B490" s="3">
        <v>46266</v>
      </c>
      <c r="C490" s="2" t="s">
        <v>30</v>
      </c>
      <c r="D490" s="2" t="s">
        <v>17</v>
      </c>
      <c r="E490" t="str">
        <f>IF(OR(A490="", B490=""), "Check missing data", IF(COUNTIFS($A$2:A490, A490, $B$2:B490, B490)&gt;1, "Possible Duplicate", "First Occurrence"))</f>
        <v>First Occurrence</v>
      </c>
      <c r="F490" t="str">
        <f t="shared" si="14"/>
        <v>On Leave</v>
      </c>
      <c r="H490" t="str">
        <f t="shared" si="15"/>
        <v>Finance</v>
      </c>
    </row>
    <row r="491" spans="1:8" x14ac:dyDescent="0.35">
      <c r="A491" s="2" t="s">
        <v>119</v>
      </c>
      <c r="B491" s="3">
        <v>46239</v>
      </c>
      <c r="C491" s="2" t="s">
        <v>246</v>
      </c>
      <c r="D491" s="2" t="s">
        <v>17</v>
      </c>
      <c r="E491" t="str">
        <f>IF(OR(A491="", B491=""), "Check missing data", IF(COUNTIFS($A$2:A491, A491, $B$2:B491, B491)&gt;1, "Possible Duplicate", "First Occurrence"))</f>
        <v>First Occurrence</v>
      </c>
      <c r="F491" t="str">
        <f t="shared" si="14"/>
        <v>Present</v>
      </c>
      <c r="H491" t="str">
        <f t="shared" si="15"/>
        <v>Finance</v>
      </c>
    </row>
    <row r="492" spans="1:8" x14ac:dyDescent="0.35">
      <c r="A492" s="2" t="s">
        <v>119</v>
      </c>
      <c r="B492" s="3">
        <v>46288</v>
      </c>
      <c r="C492" s="2" t="s">
        <v>246</v>
      </c>
      <c r="D492" s="2" t="s">
        <v>17</v>
      </c>
      <c r="E492" t="str">
        <f>IF(OR(A492="", B492=""), "Check missing data", IF(COUNTIFS($A$2:A492, A492, $B$2:B492, B492)&gt;1, "Possible Duplicate", "First Occurrence"))</f>
        <v>First Occurrence</v>
      </c>
      <c r="F492" t="str">
        <f t="shared" si="14"/>
        <v>Present</v>
      </c>
      <c r="H492" t="str">
        <f t="shared" si="15"/>
        <v>Finance</v>
      </c>
    </row>
    <row r="493" spans="1:8" x14ac:dyDescent="0.35">
      <c r="A493" s="2" t="s">
        <v>119</v>
      </c>
      <c r="B493" s="3">
        <v>46269</v>
      </c>
      <c r="C493" s="2" t="s">
        <v>245</v>
      </c>
      <c r="D493" s="2" t="s">
        <v>17</v>
      </c>
      <c r="E493" t="str">
        <f>IF(OR(A493="", B493=""), "Check missing data", IF(COUNTIFS($A$2:A493, A493, $B$2:B493, B493)&gt;1, "Possible Duplicate", "First Occurrence"))</f>
        <v>First Occurrence</v>
      </c>
      <c r="F493" t="str">
        <f t="shared" si="14"/>
        <v>Absent</v>
      </c>
      <c r="H493" t="str">
        <f t="shared" si="15"/>
        <v>Finance</v>
      </c>
    </row>
    <row r="494" spans="1:8" x14ac:dyDescent="0.35">
      <c r="A494" s="2" t="s">
        <v>121</v>
      </c>
      <c r="B494" s="3">
        <v>46211</v>
      </c>
      <c r="C494" s="2" t="s">
        <v>246</v>
      </c>
      <c r="D494" s="2" t="s">
        <v>123</v>
      </c>
      <c r="E494" t="str">
        <f>IF(OR(A494="", B494=""), "Check missing data", IF(COUNTIFS($A$2:A494, A494, $B$2:B494, B494)&gt;1, "Possible Duplicate", "First Occurrence"))</f>
        <v>First Occurrence</v>
      </c>
      <c r="F494" t="str">
        <f t="shared" si="14"/>
        <v>Present</v>
      </c>
      <c r="H494" t="str">
        <f t="shared" si="15"/>
        <v>Sales</v>
      </c>
    </row>
    <row r="495" spans="1:8" x14ac:dyDescent="0.35">
      <c r="A495" s="2" t="s">
        <v>121</v>
      </c>
      <c r="B495" s="3">
        <v>46261</v>
      </c>
      <c r="C495" s="2" t="s">
        <v>246</v>
      </c>
      <c r="D495" s="2" t="s">
        <v>123</v>
      </c>
      <c r="E495" t="str">
        <f>IF(OR(A495="", B495=""), "Check missing data", IF(COUNTIFS($A$2:A495, A495, $B$2:B495, B495)&gt;1, "Possible Duplicate", "First Occurrence"))</f>
        <v>First Occurrence</v>
      </c>
      <c r="F495" t="str">
        <f t="shared" si="14"/>
        <v>Present</v>
      </c>
      <c r="H495" t="str">
        <f t="shared" si="15"/>
        <v>Sales</v>
      </c>
    </row>
    <row r="496" spans="1:8" x14ac:dyDescent="0.35">
      <c r="A496" s="2" t="s">
        <v>121</v>
      </c>
      <c r="B496" s="3">
        <v>46231</v>
      </c>
      <c r="C496" s="2" t="s">
        <v>246</v>
      </c>
      <c r="D496" s="2" t="s">
        <v>123</v>
      </c>
      <c r="E496" t="str">
        <f>IF(OR(A496="", B496=""), "Check missing data", IF(COUNTIFS($A$2:A496, A496, $B$2:B496, B496)&gt;1, "Possible Duplicate", "First Occurrence"))</f>
        <v>First Occurrence</v>
      </c>
      <c r="F496" t="str">
        <f t="shared" si="14"/>
        <v>Present</v>
      </c>
      <c r="H496" t="str">
        <f t="shared" si="15"/>
        <v>Sales</v>
      </c>
    </row>
    <row r="497" spans="1:8" x14ac:dyDescent="0.35">
      <c r="A497" s="2" t="s">
        <v>121</v>
      </c>
      <c r="B497" s="3">
        <v>46273</v>
      </c>
      <c r="C497" s="2" t="s">
        <v>246</v>
      </c>
      <c r="D497" s="2" t="s">
        <v>123</v>
      </c>
      <c r="E497" t="str">
        <f>IF(OR(A497="", B497=""), "Check missing data", IF(COUNTIFS($A$2:A497, A497, $B$2:B497, B497)&gt;1, "Possible Duplicate", "First Occurrence"))</f>
        <v>First Occurrence</v>
      </c>
      <c r="F497" t="str">
        <f t="shared" si="14"/>
        <v>Present</v>
      </c>
      <c r="H497" t="str">
        <f t="shared" si="15"/>
        <v>Sales</v>
      </c>
    </row>
    <row r="498" spans="1:8" x14ac:dyDescent="0.35">
      <c r="A498" s="2" t="s">
        <v>121</v>
      </c>
      <c r="B498" s="3">
        <v>46218</v>
      </c>
      <c r="C498" s="2" t="s">
        <v>30</v>
      </c>
      <c r="D498" s="2" t="s">
        <v>123</v>
      </c>
      <c r="E498" t="str">
        <f>IF(OR(A498="", B498=""), "Check missing data", IF(COUNTIFS($A$2:A498, A498, $B$2:B498, B498)&gt;1, "Possible Duplicate", "First Occurrence"))</f>
        <v>First Occurrence</v>
      </c>
      <c r="F498" t="str">
        <f t="shared" si="14"/>
        <v>On Leave</v>
      </c>
      <c r="H498" t="str">
        <f t="shared" si="15"/>
        <v>Sales</v>
      </c>
    </row>
    <row r="499" spans="1:8" x14ac:dyDescent="0.35">
      <c r="A499" s="2" t="s">
        <v>121</v>
      </c>
      <c r="B499" s="3">
        <v>46223</v>
      </c>
      <c r="C499" s="2" t="s">
        <v>30</v>
      </c>
      <c r="D499" s="2" t="s">
        <v>123</v>
      </c>
      <c r="E499" t="str">
        <f>IF(OR(A499="", B499=""), "Check missing data", IF(COUNTIFS($A$2:A499, A499, $B$2:B499, B499)&gt;1, "Possible Duplicate", "First Occurrence"))</f>
        <v>First Occurrence</v>
      </c>
      <c r="F499" t="str">
        <f t="shared" si="14"/>
        <v>On Leave</v>
      </c>
      <c r="H499" t="str">
        <f t="shared" si="15"/>
        <v>Sales</v>
      </c>
    </row>
    <row r="500" spans="1:8" x14ac:dyDescent="0.35">
      <c r="A500" s="2" t="s">
        <v>121</v>
      </c>
      <c r="B500" s="3">
        <v>46286</v>
      </c>
      <c r="C500" s="2" t="s">
        <v>245</v>
      </c>
      <c r="D500" s="2" t="s">
        <v>123</v>
      </c>
      <c r="E500" t="str">
        <f>IF(OR(A500="", B500=""), "Check missing data", IF(COUNTIFS($A$2:A500, A500, $B$2:B500, B500)&gt;1, "Possible Duplicate", "First Occurrence"))</f>
        <v>First Occurrence</v>
      </c>
      <c r="F500" t="str">
        <f t="shared" si="14"/>
        <v>Absent</v>
      </c>
      <c r="H500" t="str">
        <f t="shared" si="15"/>
        <v>Sales</v>
      </c>
    </row>
    <row r="501" spans="1:8" x14ac:dyDescent="0.35">
      <c r="A501" s="2" t="s">
        <v>121</v>
      </c>
      <c r="B501" s="3">
        <v>46262</v>
      </c>
      <c r="C501" s="2" t="s">
        <v>30</v>
      </c>
      <c r="D501" s="2" t="s">
        <v>123</v>
      </c>
      <c r="E501" t="str">
        <f>IF(OR(A501="", B501=""), "Check missing data", IF(COUNTIFS($A$2:A501, A501, $B$2:B501, B501)&gt;1, "Possible Duplicate", "First Occurrence"))</f>
        <v>First Occurrence</v>
      </c>
      <c r="F501" t="str">
        <f t="shared" si="14"/>
        <v>On Leave</v>
      </c>
      <c r="H501" t="str">
        <f t="shared" si="15"/>
        <v>Sales</v>
      </c>
    </row>
    <row r="502" spans="1:8" x14ac:dyDescent="0.35">
      <c r="A502" s="2" t="s">
        <v>121</v>
      </c>
      <c r="B502" s="3">
        <v>46234</v>
      </c>
      <c r="C502" s="2" t="s">
        <v>30</v>
      </c>
      <c r="D502" s="2" t="s">
        <v>123</v>
      </c>
      <c r="E502" t="str">
        <f>IF(OR(A502="", B502=""), "Check missing data", IF(COUNTIFS($A$2:A502, A502, $B$2:B502, B502)&gt;1, "Possible Duplicate", "First Occurrence"))</f>
        <v>First Occurrence</v>
      </c>
      <c r="F502" t="str">
        <f t="shared" si="14"/>
        <v>On Leave</v>
      </c>
      <c r="H502" t="str">
        <f t="shared" si="15"/>
        <v>Sales</v>
      </c>
    </row>
    <row r="503" spans="1:8" x14ac:dyDescent="0.35">
      <c r="A503" s="2" t="s">
        <v>121</v>
      </c>
      <c r="B503" s="3">
        <v>46259</v>
      </c>
      <c r="C503" s="2" t="s">
        <v>246</v>
      </c>
      <c r="D503" s="2" t="s">
        <v>123</v>
      </c>
      <c r="E503" t="str">
        <f>IF(OR(A503="", B503=""), "Check missing data", IF(COUNTIFS($A$2:A503, A503, $B$2:B503, B503)&gt;1, "Possible Duplicate", "First Occurrence"))</f>
        <v>First Occurrence</v>
      </c>
      <c r="F503" t="str">
        <f t="shared" si="14"/>
        <v>Present</v>
      </c>
      <c r="H503" t="str">
        <f t="shared" si="15"/>
        <v>Sales</v>
      </c>
    </row>
    <row r="504" spans="1:8" x14ac:dyDescent="0.35">
      <c r="A504" s="2" t="s">
        <v>121</v>
      </c>
      <c r="B504" s="3">
        <v>46239</v>
      </c>
      <c r="C504" s="2" t="s">
        <v>246</v>
      </c>
      <c r="D504" s="2" t="s">
        <v>123</v>
      </c>
      <c r="E504" t="str">
        <f>IF(OR(A504="", B504=""), "Check missing data", IF(COUNTIFS($A$2:A504, A504, $B$2:B504, B504)&gt;1, "Possible Duplicate", "First Occurrence"))</f>
        <v>First Occurrence</v>
      </c>
      <c r="F504" t="str">
        <f t="shared" si="14"/>
        <v>Present</v>
      </c>
      <c r="H504" t="str">
        <f t="shared" si="15"/>
        <v>Sales</v>
      </c>
    </row>
    <row r="505" spans="1:8" x14ac:dyDescent="0.35">
      <c r="A505" s="2" t="s">
        <v>121</v>
      </c>
      <c r="B505" s="3">
        <v>46265</v>
      </c>
      <c r="C505" s="2" t="s">
        <v>246</v>
      </c>
      <c r="D505" s="2" t="s">
        <v>123</v>
      </c>
      <c r="E505" t="str">
        <f>IF(OR(A505="", B505=""), "Check missing data", IF(COUNTIFS($A$2:A505, A505, $B$2:B505, B505)&gt;1, "Possible Duplicate", "First Occurrence"))</f>
        <v>First Occurrence</v>
      </c>
      <c r="F505" t="str">
        <f t="shared" si="14"/>
        <v>Present</v>
      </c>
      <c r="H505" t="str">
        <f t="shared" si="15"/>
        <v>Sales</v>
      </c>
    </row>
    <row r="506" spans="1:8" x14ac:dyDescent="0.35">
      <c r="A506" s="2" t="s">
        <v>124</v>
      </c>
      <c r="B506" s="3">
        <v>46253</v>
      </c>
      <c r="C506" s="2" t="s">
        <v>246</v>
      </c>
      <c r="D506" s="2" t="s">
        <v>37</v>
      </c>
      <c r="E506" t="str">
        <f>IF(OR(A506="", B506=""), "Check missing data", IF(COUNTIFS($A$2:A506, A506, $B$2:B506, B506)&gt;1, "Possible Duplicate", "First Occurrence"))</f>
        <v>First Occurrence</v>
      </c>
      <c r="F506" t="str">
        <f t="shared" si="14"/>
        <v>Present</v>
      </c>
      <c r="H506" t="str">
        <f t="shared" si="15"/>
        <v>Customer Support</v>
      </c>
    </row>
    <row r="507" spans="1:8" x14ac:dyDescent="0.35">
      <c r="A507" s="2" t="s">
        <v>124</v>
      </c>
      <c r="B507" s="3">
        <v>46265</v>
      </c>
      <c r="C507" s="2" t="s">
        <v>246</v>
      </c>
      <c r="D507" s="2" t="s">
        <v>37</v>
      </c>
      <c r="E507" t="str">
        <f>IF(OR(A507="", B507=""), "Check missing data", IF(COUNTIFS($A$2:A507, A507, $B$2:B507, B507)&gt;1, "Possible Duplicate", "First Occurrence"))</f>
        <v>First Occurrence</v>
      </c>
      <c r="F507" t="str">
        <f t="shared" si="14"/>
        <v>Present</v>
      </c>
      <c r="H507" t="str">
        <f t="shared" si="15"/>
        <v>Customer Support</v>
      </c>
    </row>
    <row r="508" spans="1:8" x14ac:dyDescent="0.35">
      <c r="A508" s="2" t="s">
        <v>124</v>
      </c>
      <c r="B508" s="3">
        <v>46218</v>
      </c>
      <c r="C508" s="2" t="s">
        <v>246</v>
      </c>
      <c r="D508" s="2" t="s">
        <v>37</v>
      </c>
      <c r="E508" t="str">
        <f>IF(OR(A508="", B508=""), "Check missing data", IF(COUNTIFS($A$2:A508, A508, $B$2:B508, B508)&gt;1, "Possible Duplicate", "First Occurrence"))</f>
        <v>First Occurrence</v>
      </c>
      <c r="F508" t="str">
        <f t="shared" si="14"/>
        <v>Present</v>
      </c>
      <c r="H508" t="str">
        <f t="shared" si="15"/>
        <v>Customer Support</v>
      </c>
    </row>
    <row r="509" spans="1:8" x14ac:dyDescent="0.35">
      <c r="A509" s="2" t="s">
        <v>124</v>
      </c>
      <c r="B509" s="3">
        <v>46212</v>
      </c>
      <c r="C509" s="2" t="s">
        <v>246</v>
      </c>
      <c r="D509" s="2" t="s">
        <v>37</v>
      </c>
      <c r="E509" t="str">
        <f>IF(OR(A509="", B509=""), "Check missing data", IF(COUNTIFS($A$2:A509, A509, $B$2:B509, B509)&gt;1, "Possible Duplicate", "First Occurrence"))</f>
        <v>First Occurrence</v>
      </c>
      <c r="F509" t="str">
        <f t="shared" si="14"/>
        <v>Present</v>
      </c>
      <c r="H509" t="str">
        <f t="shared" si="15"/>
        <v>Customer Support</v>
      </c>
    </row>
    <row r="510" spans="1:8" x14ac:dyDescent="0.35">
      <c r="A510" s="2" t="s">
        <v>124</v>
      </c>
      <c r="B510" s="3">
        <v>46216</v>
      </c>
      <c r="C510" s="2" t="s">
        <v>246</v>
      </c>
      <c r="D510" s="2" t="s">
        <v>37</v>
      </c>
      <c r="E510" t="str">
        <f>IF(OR(A510="", B510=""), "Check missing data", IF(COUNTIFS($A$2:A510, A510, $B$2:B510, B510)&gt;1, "Possible Duplicate", "First Occurrence"))</f>
        <v>First Occurrence</v>
      </c>
      <c r="F510" t="str">
        <f t="shared" si="14"/>
        <v>Present</v>
      </c>
      <c r="H510" t="str">
        <f t="shared" si="15"/>
        <v>Customer Support</v>
      </c>
    </row>
    <row r="511" spans="1:8" x14ac:dyDescent="0.35">
      <c r="A511" s="2" t="s">
        <v>124</v>
      </c>
      <c r="B511" s="3">
        <v>46274</v>
      </c>
      <c r="C511" s="2" t="s">
        <v>245</v>
      </c>
      <c r="D511" s="2" t="s">
        <v>37</v>
      </c>
      <c r="E511" t="str">
        <f>IF(OR(A511="", B511=""), "Check missing data", IF(COUNTIFS($A$2:A511, A511, $B$2:B511, B511)&gt;1, "Possible Duplicate", "First Occurrence"))</f>
        <v>First Occurrence</v>
      </c>
      <c r="F511" t="str">
        <f t="shared" si="14"/>
        <v>Absent</v>
      </c>
      <c r="H511" t="str">
        <f t="shared" si="15"/>
        <v>Customer Support</v>
      </c>
    </row>
    <row r="512" spans="1:8" x14ac:dyDescent="0.35">
      <c r="A512" s="2" t="s">
        <v>124</v>
      </c>
      <c r="B512" s="3">
        <v>46275</v>
      </c>
      <c r="C512" s="2" t="s">
        <v>246</v>
      </c>
      <c r="D512" s="2" t="s">
        <v>37</v>
      </c>
      <c r="E512" t="str">
        <f>IF(OR(A512="", B512=""), "Check missing data", IF(COUNTIFS($A$2:A512, A512, $B$2:B512, B512)&gt;1, "Possible Duplicate", "First Occurrence"))</f>
        <v>First Occurrence</v>
      </c>
      <c r="F512" t="str">
        <f t="shared" si="14"/>
        <v>Present</v>
      </c>
      <c r="H512" t="str">
        <f t="shared" si="15"/>
        <v>Customer Support</v>
      </c>
    </row>
    <row r="513" spans="1:8" x14ac:dyDescent="0.35">
      <c r="A513" s="2" t="s">
        <v>124</v>
      </c>
      <c r="B513" s="3">
        <v>46224</v>
      </c>
      <c r="C513" s="2" t="s">
        <v>246</v>
      </c>
      <c r="D513" s="2" t="s">
        <v>37</v>
      </c>
      <c r="E513" t="str">
        <f>IF(OR(A513="", B513=""), "Check missing data", IF(COUNTIFS($A$2:A513, A513, $B$2:B513, B513)&gt;1, "Possible Duplicate", "First Occurrence"))</f>
        <v>First Occurrence</v>
      </c>
      <c r="F513" t="str">
        <f t="shared" si="14"/>
        <v>Present</v>
      </c>
      <c r="H513" t="str">
        <f t="shared" si="15"/>
        <v>Customer Support</v>
      </c>
    </row>
    <row r="514" spans="1:8" x14ac:dyDescent="0.35">
      <c r="A514" s="2" t="s">
        <v>124</v>
      </c>
      <c r="B514" s="3">
        <v>46248</v>
      </c>
      <c r="C514" s="2" t="s">
        <v>246</v>
      </c>
      <c r="D514" s="2" t="s">
        <v>37</v>
      </c>
      <c r="E514" t="str">
        <f>IF(OR(A514="", B514=""), "Check missing data", IF(COUNTIFS($A$2:A514, A514, $B$2:B514, B514)&gt;1, "Possible Duplicate", "First Occurrence"))</f>
        <v>First Occurrence</v>
      </c>
      <c r="F514" t="str">
        <f t="shared" si="14"/>
        <v>Present</v>
      </c>
      <c r="H514" t="str">
        <f t="shared" si="15"/>
        <v>Customer Support</v>
      </c>
    </row>
    <row r="515" spans="1:8" x14ac:dyDescent="0.35">
      <c r="A515" s="2" t="s">
        <v>124</v>
      </c>
      <c r="B515" s="3">
        <v>46211</v>
      </c>
      <c r="C515" s="2" t="s">
        <v>246</v>
      </c>
      <c r="D515" s="2" t="s">
        <v>37</v>
      </c>
      <c r="E515" t="str">
        <f>IF(OR(A515="", B515=""), "Check missing data", IF(COUNTIFS($A$2:A515, A515, $B$2:B515, B515)&gt;1, "Possible Duplicate", "First Occurrence"))</f>
        <v>First Occurrence</v>
      </c>
      <c r="F515" t="str">
        <f t="shared" ref="F515:F578" si="16">PROPER(TRIM(C515))</f>
        <v>Present</v>
      </c>
      <c r="H515" t="str">
        <f t="shared" ref="H515:H578" si="17">TRIM(CLEAN(D515))</f>
        <v>Customer Support</v>
      </c>
    </row>
    <row r="516" spans="1:8" x14ac:dyDescent="0.35">
      <c r="A516" s="2" t="s">
        <v>124</v>
      </c>
      <c r="B516" s="3">
        <v>46254</v>
      </c>
      <c r="C516" s="2" t="s">
        <v>247</v>
      </c>
      <c r="D516" s="2" t="s">
        <v>37</v>
      </c>
      <c r="E516" t="str">
        <f>IF(OR(A516="", B516=""), "Check missing data", IF(COUNTIFS($A$2:A516, A516, $B$2:B516, B516)&gt;1, "Possible Duplicate", "First Occurrence"))</f>
        <v>First Occurrence</v>
      </c>
      <c r="F516" t="str">
        <f t="shared" si="16"/>
        <v>Late</v>
      </c>
      <c r="H516" t="str">
        <f t="shared" si="17"/>
        <v>Customer Support</v>
      </c>
    </row>
    <row r="517" spans="1:8" x14ac:dyDescent="0.35">
      <c r="A517" s="2" t="s">
        <v>124</v>
      </c>
      <c r="B517" s="3">
        <v>46210</v>
      </c>
      <c r="C517" s="2" t="s">
        <v>246</v>
      </c>
      <c r="D517" s="2" t="s">
        <v>37</v>
      </c>
      <c r="E517" t="str">
        <f>IF(OR(A517="", B517=""), "Check missing data", IF(COUNTIFS($A$2:A517, A517, $B$2:B517, B517)&gt;1, "Possible Duplicate", "First Occurrence"))</f>
        <v>First Occurrence</v>
      </c>
      <c r="F517" t="str">
        <f t="shared" si="16"/>
        <v>Present</v>
      </c>
      <c r="H517" t="str">
        <f t="shared" si="17"/>
        <v>Customer Support</v>
      </c>
    </row>
    <row r="518" spans="1:8" x14ac:dyDescent="0.35">
      <c r="A518" s="2" t="s">
        <v>126</v>
      </c>
      <c r="B518" s="3">
        <v>46287</v>
      </c>
      <c r="C518" s="2" t="s">
        <v>245</v>
      </c>
      <c r="D518" s="2" t="s">
        <v>33</v>
      </c>
      <c r="E518" t="str">
        <f>IF(OR(A518="", B518=""), "Check missing data", IF(COUNTIFS($A$2:A518, A518, $B$2:B518, B518)&gt;1, "Possible Duplicate", "First Occurrence"))</f>
        <v>First Occurrence</v>
      </c>
      <c r="F518" t="str">
        <f t="shared" si="16"/>
        <v>Absent</v>
      </c>
      <c r="H518" t="str">
        <f t="shared" si="17"/>
        <v>Sales</v>
      </c>
    </row>
    <row r="519" spans="1:8" x14ac:dyDescent="0.35">
      <c r="A519" s="2" t="s">
        <v>126</v>
      </c>
      <c r="B519" s="3">
        <v>46258</v>
      </c>
      <c r="C519" s="2" t="s">
        <v>246</v>
      </c>
      <c r="D519" s="2" t="s">
        <v>33</v>
      </c>
      <c r="E519" t="str">
        <f>IF(OR(A519="", B519=""), "Check missing data", IF(COUNTIFS($A$2:A519, A519, $B$2:B519, B519)&gt;1, "Possible Duplicate", "First Occurrence"))</f>
        <v>First Occurrence</v>
      </c>
      <c r="F519" t="str">
        <f t="shared" si="16"/>
        <v>Present</v>
      </c>
      <c r="H519" t="str">
        <f t="shared" si="17"/>
        <v>Sales</v>
      </c>
    </row>
    <row r="520" spans="1:8" x14ac:dyDescent="0.35">
      <c r="A520" s="2" t="s">
        <v>126</v>
      </c>
      <c r="B520" s="3">
        <v>46212</v>
      </c>
      <c r="C520" s="2" t="s">
        <v>246</v>
      </c>
      <c r="D520" s="2" t="s">
        <v>33</v>
      </c>
      <c r="E520" t="str">
        <f>IF(OR(A520="", B520=""), "Check missing data", IF(COUNTIFS($A$2:A520, A520, $B$2:B520, B520)&gt;1, "Possible Duplicate", "First Occurrence"))</f>
        <v>First Occurrence</v>
      </c>
      <c r="F520" t="str">
        <f t="shared" si="16"/>
        <v>Present</v>
      </c>
      <c r="H520" t="str">
        <f t="shared" si="17"/>
        <v>Sales</v>
      </c>
    </row>
    <row r="521" spans="1:8" x14ac:dyDescent="0.35">
      <c r="A521" s="2" t="s">
        <v>126</v>
      </c>
      <c r="B521" s="3">
        <v>46248</v>
      </c>
      <c r="C521" s="2" t="s">
        <v>246</v>
      </c>
      <c r="D521" s="2" t="s">
        <v>33</v>
      </c>
      <c r="E521" t="str">
        <f>IF(OR(A521="", B521=""), "Check missing data", IF(COUNTIFS($A$2:A521, A521, $B$2:B521, B521)&gt;1, "Possible Duplicate", "First Occurrence"))</f>
        <v>First Occurrence</v>
      </c>
      <c r="F521" t="str">
        <f t="shared" si="16"/>
        <v>Present</v>
      </c>
      <c r="H521" t="str">
        <f t="shared" si="17"/>
        <v>Sales</v>
      </c>
    </row>
    <row r="522" spans="1:8" x14ac:dyDescent="0.35">
      <c r="A522" s="2" t="s">
        <v>126</v>
      </c>
      <c r="B522" s="3">
        <v>46205</v>
      </c>
      <c r="C522" s="2" t="s">
        <v>30</v>
      </c>
      <c r="D522" s="2" t="s">
        <v>33</v>
      </c>
      <c r="E522" t="str">
        <f>IF(OR(A522="", B522=""), "Check missing data", IF(COUNTIFS($A$2:A522, A522, $B$2:B522, B522)&gt;1, "Possible Duplicate", "First Occurrence"))</f>
        <v>First Occurrence</v>
      </c>
      <c r="F522" t="str">
        <f t="shared" si="16"/>
        <v>On Leave</v>
      </c>
      <c r="H522" t="str">
        <f t="shared" si="17"/>
        <v>Sales</v>
      </c>
    </row>
    <row r="523" spans="1:8" x14ac:dyDescent="0.35">
      <c r="A523" s="2" t="s">
        <v>126</v>
      </c>
      <c r="B523" s="3">
        <v>46225</v>
      </c>
      <c r="C523" s="2" t="s">
        <v>246</v>
      </c>
      <c r="D523" s="2" t="s">
        <v>33</v>
      </c>
      <c r="E523" t="str">
        <f>IF(OR(A523="", B523=""), "Check missing data", IF(COUNTIFS($A$2:A523, A523, $B$2:B523, B523)&gt;1, "Possible Duplicate", "First Occurrence"))</f>
        <v>First Occurrence</v>
      </c>
      <c r="F523" t="str">
        <f t="shared" si="16"/>
        <v>Present</v>
      </c>
      <c r="H523" t="str">
        <f t="shared" si="17"/>
        <v>Sales</v>
      </c>
    </row>
    <row r="524" spans="1:8" x14ac:dyDescent="0.35">
      <c r="A524" s="2" t="s">
        <v>126</v>
      </c>
      <c r="B524" s="3">
        <v>46268</v>
      </c>
      <c r="C524" s="2" t="s">
        <v>245</v>
      </c>
      <c r="D524" s="2" t="s">
        <v>33</v>
      </c>
      <c r="E524" t="str">
        <f>IF(OR(A524="", B524=""), "Check missing data", IF(COUNTIFS($A$2:A524, A524, $B$2:B524, B524)&gt;1, "Possible Duplicate", "First Occurrence"))</f>
        <v>First Occurrence</v>
      </c>
      <c r="F524" t="str">
        <f t="shared" si="16"/>
        <v>Absent</v>
      </c>
      <c r="H524" t="str">
        <f t="shared" si="17"/>
        <v>Sales</v>
      </c>
    </row>
    <row r="525" spans="1:8" x14ac:dyDescent="0.35">
      <c r="A525" s="2" t="s">
        <v>126</v>
      </c>
      <c r="B525" s="3">
        <v>46267</v>
      </c>
      <c r="C525" s="2" t="s">
        <v>246</v>
      </c>
      <c r="D525" s="2" t="s">
        <v>33</v>
      </c>
      <c r="E525" t="str">
        <f>IF(OR(A525="", B525=""), "Check missing data", IF(COUNTIFS($A$2:A525, A525, $B$2:B525, B525)&gt;1, "Possible Duplicate", "First Occurrence"))</f>
        <v>First Occurrence</v>
      </c>
      <c r="F525" t="str">
        <f t="shared" si="16"/>
        <v>Present</v>
      </c>
      <c r="H525" t="str">
        <f t="shared" si="17"/>
        <v>Sales</v>
      </c>
    </row>
    <row r="526" spans="1:8" x14ac:dyDescent="0.35">
      <c r="A526" s="2" t="s">
        <v>126</v>
      </c>
      <c r="B526" s="3">
        <v>46206</v>
      </c>
      <c r="C526" s="2" t="s">
        <v>245</v>
      </c>
      <c r="D526" s="2" t="s">
        <v>33</v>
      </c>
      <c r="E526" t="str">
        <f>IF(OR(A526="", B526=""), "Check missing data", IF(COUNTIFS($A$2:A526, A526, $B$2:B526, B526)&gt;1, "Possible Duplicate", "First Occurrence"))</f>
        <v>First Occurrence</v>
      </c>
      <c r="F526" t="str">
        <f t="shared" si="16"/>
        <v>Absent</v>
      </c>
      <c r="H526" t="str">
        <f t="shared" si="17"/>
        <v>Sales</v>
      </c>
    </row>
    <row r="527" spans="1:8" x14ac:dyDescent="0.35">
      <c r="A527" s="2" t="s">
        <v>126</v>
      </c>
      <c r="B527" s="3">
        <v>46223</v>
      </c>
      <c r="C527" s="2" t="s">
        <v>246</v>
      </c>
      <c r="D527" s="2" t="s">
        <v>33</v>
      </c>
      <c r="E527" t="str">
        <f>IF(OR(A527="", B527=""), "Check missing data", IF(COUNTIFS($A$2:A527, A527, $B$2:B527, B527)&gt;1, "Possible Duplicate", "First Occurrence"))</f>
        <v>First Occurrence</v>
      </c>
      <c r="F527" t="str">
        <f t="shared" si="16"/>
        <v>Present</v>
      </c>
      <c r="H527" t="str">
        <f t="shared" si="17"/>
        <v>Sales</v>
      </c>
    </row>
    <row r="528" spans="1:8" x14ac:dyDescent="0.35">
      <c r="A528" s="2" t="s">
        <v>126</v>
      </c>
      <c r="B528" s="3">
        <v>46259</v>
      </c>
      <c r="C528" s="2" t="s">
        <v>247</v>
      </c>
      <c r="D528" s="2" t="s">
        <v>33</v>
      </c>
      <c r="E528" t="str">
        <f>IF(OR(A528="", B528=""), "Check missing data", IF(COUNTIFS($A$2:A528, A528, $B$2:B528, B528)&gt;1, "Possible Duplicate", "First Occurrence"))</f>
        <v>First Occurrence</v>
      </c>
      <c r="F528" t="str">
        <f t="shared" si="16"/>
        <v>Late</v>
      </c>
      <c r="H528" t="str">
        <f t="shared" si="17"/>
        <v>Sales</v>
      </c>
    </row>
    <row r="529" spans="1:8" x14ac:dyDescent="0.35">
      <c r="A529" s="2" t="s">
        <v>126</v>
      </c>
      <c r="B529" s="3">
        <v>46231</v>
      </c>
      <c r="C529" s="2" t="s">
        <v>246</v>
      </c>
      <c r="D529" s="2" t="s">
        <v>33</v>
      </c>
      <c r="E529" t="str">
        <f>IF(OR(A529="", B529=""), "Check missing data", IF(COUNTIFS($A$2:A529, A529, $B$2:B529, B529)&gt;1, "Possible Duplicate", "First Occurrence"))</f>
        <v>First Occurrence</v>
      </c>
      <c r="F529" t="str">
        <f t="shared" si="16"/>
        <v>Present</v>
      </c>
      <c r="H529" t="str">
        <f t="shared" si="17"/>
        <v>Sales</v>
      </c>
    </row>
    <row r="530" spans="1:8" x14ac:dyDescent="0.35">
      <c r="A530" s="2" t="s">
        <v>128</v>
      </c>
      <c r="B530" s="3">
        <v>46286</v>
      </c>
      <c r="C530" s="2" t="s">
        <v>246</v>
      </c>
      <c r="D530" s="2" t="s">
        <v>17</v>
      </c>
      <c r="E530" t="str">
        <f>IF(OR(A530="", B530=""), "Check missing data", IF(COUNTIFS($A$2:A530, A530, $B$2:B530, B530)&gt;1, "Possible Duplicate", "First Occurrence"))</f>
        <v>First Occurrence</v>
      </c>
      <c r="F530" t="str">
        <f t="shared" si="16"/>
        <v>Present</v>
      </c>
      <c r="H530" t="str">
        <f t="shared" si="17"/>
        <v>Finance</v>
      </c>
    </row>
    <row r="531" spans="1:8" x14ac:dyDescent="0.35">
      <c r="A531" s="2" t="s">
        <v>128</v>
      </c>
      <c r="B531" s="3">
        <v>46273</v>
      </c>
      <c r="C531" s="2" t="s">
        <v>245</v>
      </c>
      <c r="D531" s="2" t="s">
        <v>17</v>
      </c>
      <c r="E531" t="str">
        <f>IF(OR(A531="", B531=""), "Check missing data", IF(COUNTIFS($A$2:A531, A531, $B$2:B531, B531)&gt;1, "Possible Duplicate", "First Occurrence"))</f>
        <v>First Occurrence</v>
      </c>
      <c r="F531" t="str">
        <f t="shared" si="16"/>
        <v>Absent</v>
      </c>
      <c r="H531" t="str">
        <f t="shared" si="17"/>
        <v>Finance</v>
      </c>
    </row>
    <row r="532" spans="1:8" x14ac:dyDescent="0.35">
      <c r="A532" s="2" t="s">
        <v>128</v>
      </c>
      <c r="B532" s="3">
        <v>46290</v>
      </c>
      <c r="C532" s="2" t="s">
        <v>245</v>
      </c>
      <c r="D532" s="2" t="s">
        <v>17</v>
      </c>
      <c r="E532" t="str">
        <f>IF(OR(A532="", B532=""), "Check missing data", IF(COUNTIFS($A$2:A532, A532, $B$2:B532, B532)&gt;1, "Possible Duplicate", "First Occurrence"))</f>
        <v>First Occurrence</v>
      </c>
      <c r="F532" t="str">
        <f t="shared" si="16"/>
        <v>Absent</v>
      </c>
      <c r="H532" t="str">
        <f t="shared" si="17"/>
        <v>Finance</v>
      </c>
    </row>
    <row r="533" spans="1:8" x14ac:dyDescent="0.35">
      <c r="A533" s="2" t="s">
        <v>128</v>
      </c>
      <c r="B533" s="3">
        <v>46275</v>
      </c>
      <c r="C533" s="2" t="s">
        <v>246</v>
      </c>
      <c r="D533" s="2" t="s">
        <v>17</v>
      </c>
      <c r="E533" t="str">
        <f>IF(OR(A533="", B533=""), "Check missing data", IF(COUNTIFS($A$2:A533, A533, $B$2:B533, B533)&gt;1, "Possible Duplicate", "First Occurrence"))</f>
        <v>First Occurrence</v>
      </c>
      <c r="F533" t="str">
        <f t="shared" si="16"/>
        <v>Present</v>
      </c>
      <c r="H533" t="str">
        <f t="shared" si="17"/>
        <v>Finance</v>
      </c>
    </row>
    <row r="534" spans="1:8" x14ac:dyDescent="0.35">
      <c r="A534" s="2" t="s">
        <v>128</v>
      </c>
      <c r="B534" s="3">
        <v>46262</v>
      </c>
      <c r="C534" s="2" t="s">
        <v>245</v>
      </c>
      <c r="D534" s="2" t="s">
        <v>17</v>
      </c>
      <c r="E534" t="str">
        <f>IF(OR(A534="", B534=""), "Check missing data", IF(COUNTIFS($A$2:A534, A534, $B$2:B534, B534)&gt;1, "Possible Duplicate", "First Occurrence"))</f>
        <v>First Occurrence</v>
      </c>
      <c r="F534" t="str">
        <f t="shared" si="16"/>
        <v>Absent</v>
      </c>
      <c r="H534" t="str">
        <f t="shared" si="17"/>
        <v>Finance</v>
      </c>
    </row>
    <row r="535" spans="1:8" x14ac:dyDescent="0.35">
      <c r="A535" s="2" t="s">
        <v>128</v>
      </c>
      <c r="B535" s="3">
        <v>46239</v>
      </c>
      <c r="C535" s="2" t="s">
        <v>246</v>
      </c>
      <c r="D535" s="2" t="s">
        <v>17</v>
      </c>
      <c r="E535" t="str">
        <f>IF(OR(A535="", B535=""), "Check missing data", IF(COUNTIFS($A$2:A535, A535, $B$2:B535, B535)&gt;1, "Possible Duplicate", "First Occurrence"))</f>
        <v>First Occurrence</v>
      </c>
      <c r="F535" t="str">
        <f t="shared" si="16"/>
        <v>Present</v>
      </c>
      <c r="H535" t="str">
        <f t="shared" si="17"/>
        <v>Finance</v>
      </c>
    </row>
    <row r="536" spans="1:8" x14ac:dyDescent="0.35">
      <c r="A536" s="2" t="s">
        <v>128</v>
      </c>
      <c r="B536" s="3">
        <v>46245</v>
      </c>
      <c r="C536" s="2" t="s">
        <v>245</v>
      </c>
      <c r="D536" s="2" t="s">
        <v>17</v>
      </c>
      <c r="E536" t="str">
        <f>IF(OR(A536="", B536=""), "Check missing data", IF(COUNTIFS($A$2:A536, A536, $B$2:B536, B536)&gt;1, "Possible Duplicate", "First Occurrence"))</f>
        <v>First Occurrence</v>
      </c>
      <c r="F536" t="str">
        <f t="shared" si="16"/>
        <v>Absent</v>
      </c>
      <c r="H536" t="str">
        <f t="shared" si="17"/>
        <v>Finance</v>
      </c>
    </row>
    <row r="537" spans="1:8" x14ac:dyDescent="0.35">
      <c r="A537" s="2" t="s">
        <v>128</v>
      </c>
      <c r="B537" s="3">
        <v>46238</v>
      </c>
      <c r="C537" s="2" t="s">
        <v>246</v>
      </c>
      <c r="D537" s="2" t="s">
        <v>17</v>
      </c>
      <c r="E537" t="str">
        <f>IF(OR(A537="", B537=""), "Check missing data", IF(COUNTIFS($A$2:A537, A537, $B$2:B537, B537)&gt;1, "Possible Duplicate", "First Occurrence"))</f>
        <v>First Occurrence</v>
      </c>
      <c r="F537" t="str">
        <f t="shared" si="16"/>
        <v>Present</v>
      </c>
      <c r="H537" t="str">
        <f t="shared" si="17"/>
        <v>Finance</v>
      </c>
    </row>
    <row r="538" spans="1:8" x14ac:dyDescent="0.35">
      <c r="A538" s="2" t="s">
        <v>128</v>
      </c>
      <c r="B538" s="3">
        <v>46267</v>
      </c>
      <c r="C538" s="2" t="s">
        <v>30</v>
      </c>
      <c r="D538" s="2" t="s">
        <v>17</v>
      </c>
      <c r="E538" t="str">
        <f>IF(OR(A538="", B538=""), "Check missing data", IF(COUNTIFS($A$2:A538, A538, $B$2:B538, B538)&gt;1, "Possible Duplicate", "First Occurrence"))</f>
        <v>First Occurrence</v>
      </c>
      <c r="F538" t="str">
        <f t="shared" si="16"/>
        <v>On Leave</v>
      </c>
      <c r="H538" t="str">
        <f t="shared" si="17"/>
        <v>Finance</v>
      </c>
    </row>
    <row r="539" spans="1:8" x14ac:dyDescent="0.35">
      <c r="A539" s="2" t="s">
        <v>128</v>
      </c>
      <c r="B539" s="3">
        <v>46231</v>
      </c>
      <c r="C539" s="2" t="s">
        <v>247</v>
      </c>
      <c r="D539" s="2" t="s">
        <v>17</v>
      </c>
      <c r="E539" t="str">
        <f>IF(OR(A539="", B539=""), "Check missing data", IF(COUNTIFS($A$2:A539, A539, $B$2:B539, B539)&gt;1, "Possible Duplicate", "First Occurrence"))</f>
        <v>First Occurrence</v>
      </c>
      <c r="F539" t="str">
        <f t="shared" si="16"/>
        <v>Late</v>
      </c>
      <c r="H539" t="str">
        <f t="shared" si="17"/>
        <v>Finance</v>
      </c>
    </row>
    <row r="540" spans="1:8" x14ac:dyDescent="0.35">
      <c r="A540" s="2" t="s">
        <v>128</v>
      </c>
      <c r="B540" s="3">
        <v>46230</v>
      </c>
      <c r="C540" s="2" t="s">
        <v>246</v>
      </c>
      <c r="D540" s="2" t="s">
        <v>17</v>
      </c>
      <c r="E540" t="str">
        <f>IF(OR(A540="", B540=""), "Check missing data", IF(COUNTIFS($A$2:A540, A540, $B$2:B540, B540)&gt;1, "Possible Duplicate", "First Occurrence"))</f>
        <v>First Occurrence</v>
      </c>
      <c r="F540" t="str">
        <f t="shared" si="16"/>
        <v>Present</v>
      </c>
      <c r="H540" t="str">
        <f t="shared" si="17"/>
        <v>Finance</v>
      </c>
    </row>
    <row r="541" spans="1:8" x14ac:dyDescent="0.35">
      <c r="A541" s="2" t="s">
        <v>128</v>
      </c>
      <c r="B541" s="3">
        <v>46294</v>
      </c>
      <c r="C541" s="2" t="s">
        <v>246</v>
      </c>
      <c r="D541" s="2" t="s">
        <v>17</v>
      </c>
      <c r="E541" t="str">
        <f>IF(OR(A541="", B541=""), "Check missing data", IF(COUNTIFS($A$2:A541, A541, $B$2:B541, B541)&gt;1, "Possible Duplicate", "First Occurrence"))</f>
        <v>First Occurrence</v>
      </c>
      <c r="F541" t="str">
        <f t="shared" si="16"/>
        <v>Present</v>
      </c>
      <c r="H541" t="str">
        <f t="shared" si="17"/>
        <v>Finance</v>
      </c>
    </row>
    <row r="542" spans="1:8" x14ac:dyDescent="0.35">
      <c r="A542" s="2" t="s">
        <v>130</v>
      </c>
      <c r="B542" s="3">
        <v>46237</v>
      </c>
      <c r="C542" s="2" t="s">
        <v>245</v>
      </c>
      <c r="D542" s="2" t="s">
        <v>41</v>
      </c>
      <c r="E542" t="str">
        <f>IF(OR(A542="", B542=""), "Check missing data", IF(COUNTIFS($A$2:A542, A542, $B$2:B542, B542)&gt;1, "Possible Duplicate", "First Occurrence"))</f>
        <v>First Occurrence</v>
      </c>
      <c r="F542" t="str">
        <f t="shared" si="16"/>
        <v>Absent</v>
      </c>
      <c r="H542" t="str">
        <f t="shared" si="17"/>
        <v>Human Resources</v>
      </c>
    </row>
    <row r="543" spans="1:8" x14ac:dyDescent="0.35">
      <c r="A543" s="2" t="s">
        <v>130</v>
      </c>
      <c r="B543" s="3">
        <v>46258</v>
      </c>
      <c r="C543" s="2" t="s">
        <v>245</v>
      </c>
      <c r="D543" s="2" t="s">
        <v>41</v>
      </c>
      <c r="E543" t="str">
        <f>IF(OR(A543="", B543=""), "Check missing data", IF(COUNTIFS($A$2:A543, A543, $B$2:B543, B543)&gt;1, "Possible Duplicate", "First Occurrence"))</f>
        <v>First Occurrence</v>
      </c>
      <c r="F543" t="str">
        <f t="shared" si="16"/>
        <v>Absent</v>
      </c>
      <c r="H543" t="str">
        <f t="shared" si="17"/>
        <v>Human Resources</v>
      </c>
    </row>
    <row r="544" spans="1:8" x14ac:dyDescent="0.35">
      <c r="A544" s="2" t="s">
        <v>130</v>
      </c>
      <c r="B544" s="3">
        <v>46274</v>
      </c>
      <c r="C544" s="2" t="s">
        <v>246</v>
      </c>
      <c r="D544" s="2" t="s">
        <v>41</v>
      </c>
      <c r="E544" t="str">
        <f>IF(OR(A544="", B544=""), "Check missing data", IF(COUNTIFS($A$2:A544, A544, $B$2:B544, B544)&gt;1, "Possible Duplicate", "First Occurrence"))</f>
        <v>First Occurrence</v>
      </c>
      <c r="F544" t="str">
        <f t="shared" si="16"/>
        <v>Present</v>
      </c>
      <c r="H544" t="str">
        <f t="shared" si="17"/>
        <v>Human Resources</v>
      </c>
    </row>
    <row r="545" spans="1:8" x14ac:dyDescent="0.35">
      <c r="A545" s="2" t="s">
        <v>130</v>
      </c>
      <c r="B545" s="3">
        <v>46290</v>
      </c>
      <c r="C545" s="2" t="s">
        <v>246</v>
      </c>
      <c r="D545" s="2" t="s">
        <v>41</v>
      </c>
      <c r="E545" t="str">
        <f>IF(OR(A545="", B545=""), "Check missing data", IF(COUNTIFS($A$2:A545, A545, $B$2:B545, B545)&gt;1, "Possible Duplicate", "First Occurrence"))</f>
        <v>First Occurrence</v>
      </c>
      <c r="F545" t="str">
        <f t="shared" si="16"/>
        <v>Present</v>
      </c>
      <c r="H545" t="str">
        <f t="shared" si="17"/>
        <v>Human Resources</v>
      </c>
    </row>
    <row r="546" spans="1:8" x14ac:dyDescent="0.35">
      <c r="A546" s="2" t="s">
        <v>130</v>
      </c>
      <c r="B546" s="3">
        <v>46260</v>
      </c>
      <c r="C546" s="2" t="s">
        <v>246</v>
      </c>
      <c r="D546" s="2" t="s">
        <v>41</v>
      </c>
      <c r="E546" t="str">
        <f>IF(OR(A546="", B546=""), "Check missing data", IF(COUNTIFS($A$2:A546, A546, $B$2:B546, B546)&gt;1, "Possible Duplicate", "First Occurrence"))</f>
        <v>First Occurrence</v>
      </c>
      <c r="F546" t="str">
        <f t="shared" si="16"/>
        <v>Present</v>
      </c>
      <c r="H546" t="str">
        <f t="shared" si="17"/>
        <v>Human Resources</v>
      </c>
    </row>
    <row r="547" spans="1:8" x14ac:dyDescent="0.35">
      <c r="A547" s="2" t="s">
        <v>130</v>
      </c>
      <c r="B547" s="3">
        <v>46293</v>
      </c>
      <c r="C547" s="2" t="s">
        <v>246</v>
      </c>
      <c r="D547" s="2" t="s">
        <v>41</v>
      </c>
      <c r="E547" t="str">
        <f>IF(OR(A547="", B547=""), "Check missing data", IF(COUNTIFS($A$2:A547, A547, $B$2:B547, B547)&gt;1, "Possible Duplicate", "First Occurrence"))</f>
        <v>First Occurrence</v>
      </c>
      <c r="F547" t="str">
        <f t="shared" si="16"/>
        <v>Present</v>
      </c>
      <c r="H547" t="str">
        <f t="shared" si="17"/>
        <v>Human Resources</v>
      </c>
    </row>
    <row r="548" spans="1:8" x14ac:dyDescent="0.35">
      <c r="A548" s="2" t="s">
        <v>130</v>
      </c>
      <c r="B548" s="3">
        <v>46252</v>
      </c>
      <c r="C548" s="2" t="s">
        <v>245</v>
      </c>
      <c r="D548" s="2" t="s">
        <v>41</v>
      </c>
      <c r="E548" t="str">
        <f>IF(OR(A548="", B548=""), "Check missing data", IF(COUNTIFS($A$2:A548, A548, $B$2:B548, B548)&gt;1, "Possible Duplicate", "First Occurrence"))</f>
        <v>First Occurrence</v>
      </c>
      <c r="F548" t="str">
        <f t="shared" si="16"/>
        <v>Absent</v>
      </c>
      <c r="H548" t="str">
        <f t="shared" si="17"/>
        <v>Human Resources</v>
      </c>
    </row>
    <row r="549" spans="1:8" x14ac:dyDescent="0.35">
      <c r="A549" s="2" t="s">
        <v>130</v>
      </c>
      <c r="B549" s="3">
        <v>46246</v>
      </c>
      <c r="C549" s="2" t="s">
        <v>30</v>
      </c>
      <c r="D549" s="2" t="s">
        <v>41</v>
      </c>
      <c r="E549" t="str">
        <f>IF(OR(A549="", B549=""), "Check missing data", IF(COUNTIFS($A$2:A549, A549, $B$2:B549, B549)&gt;1, "Possible Duplicate", "First Occurrence"))</f>
        <v>First Occurrence</v>
      </c>
      <c r="F549" t="str">
        <f t="shared" si="16"/>
        <v>On Leave</v>
      </c>
      <c r="H549" t="str">
        <f t="shared" si="17"/>
        <v>Human Resources</v>
      </c>
    </row>
    <row r="550" spans="1:8" x14ac:dyDescent="0.35">
      <c r="A550" s="2" t="s">
        <v>130</v>
      </c>
      <c r="B550" s="3">
        <v>46232</v>
      </c>
      <c r="C550" s="2" t="s">
        <v>30</v>
      </c>
      <c r="D550" s="2" t="s">
        <v>41</v>
      </c>
      <c r="E550" t="str">
        <f>IF(OR(A550="", B550=""), "Check missing data", IF(COUNTIFS($A$2:A550, A550, $B$2:B550, B550)&gt;1, "Possible Duplicate", "First Occurrence"))</f>
        <v>First Occurrence</v>
      </c>
      <c r="F550" t="str">
        <f t="shared" si="16"/>
        <v>On Leave</v>
      </c>
      <c r="H550" t="str">
        <f t="shared" si="17"/>
        <v>Human Resources</v>
      </c>
    </row>
    <row r="551" spans="1:8" x14ac:dyDescent="0.35">
      <c r="A551" s="2" t="s">
        <v>130</v>
      </c>
      <c r="B551" s="3">
        <v>46226</v>
      </c>
      <c r="C551" s="2" t="s">
        <v>245</v>
      </c>
      <c r="D551" s="2" t="s">
        <v>41</v>
      </c>
      <c r="E551" t="str">
        <f>IF(OR(A551="", B551=""), "Check missing data", IF(COUNTIFS($A$2:A551, A551, $B$2:B551, B551)&gt;1, "Possible Duplicate", "First Occurrence"))</f>
        <v>First Occurrence</v>
      </c>
      <c r="F551" t="str">
        <f t="shared" si="16"/>
        <v>Absent</v>
      </c>
      <c r="H551" t="str">
        <f t="shared" si="17"/>
        <v>Human Resources</v>
      </c>
    </row>
    <row r="552" spans="1:8" x14ac:dyDescent="0.35">
      <c r="A552" s="2" t="s">
        <v>130</v>
      </c>
      <c r="B552" s="3">
        <v>46223</v>
      </c>
      <c r="C552" s="2" t="s">
        <v>246</v>
      </c>
      <c r="D552" s="2" t="s">
        <v>41</v>
      </c>
      <c r="E552" t="str">
        <f>IF(OR(A552="", B552=""), "Check missing data", IF(COUNTIFS($A$2:A552, A552, $B$2:B552, B552)&gt;1, "Possible Duplicate", "First Occurrence"))</f>
        <v>First Occurrence</v>
      </c>
      <c r="F552" t="str">
        <f t="shared" si="16"/>
        <v>Present</v>
      </c>
      <c r="H552" t="str">
        <f t="shared" si="17"/>
        <v>Human Resources</v>
      </c>
    </row>
    <row r="553" spans="1:8" x14ac:dyDescent="0.35">
      <c r="A553" s="2" t="s">
        <v>130</v>
      </c>
      <c r="B553" s="3">
        <v>46295</v>
      </c>
      <c r="C553" s="2" t="s">
        <v>246</v>
      </c>
      <c r="D553" s="2" t="s">
        <v>41</v>
      </c>
      <c r="E553" t="str">
        <f>IF(OR(A553="", B553=""), "Check missing data", IF(COUNTIFS($A$2:A553, A553, $B$2:B553, B553)&gt;1, "Possible Duplicate", "First Occurrence"))</f>
        <v>First Occurrence</v>
      </c>
      <c r="F553" t="str">
        <f t="shared" si="16"/>
        <v>Present</v>
      </c>
      <c r="H553" t="str">
        <f t="shared" si="17"/>
        <v>Human Resources</v>
      </c>
    </row>
    <row r="554" spans="1:8" x14ac:dyDescent="0.35">
      <c r="A554" s="2" t="s">
        <v>133</v>
      </c>
      <c r="B554" s="3">
        <v>46234</v>
      </c>
      <c r="C554" s="2" t="s">
        <v>245</v>
      </c>
      <c r="D554" s="2" t="s">
        <v>11</v>
      </c>
      <c r="E554" t="str">
        <f>IF(OR(A554="", B554=""), "Check missing data", IF(COUNTIFS($A$2:A554, A554, $B$2:B554, B554)&gt;1, "Possible Duplicate", "First Occurrence"))</f>
        <v>First Occurrence</v>
      </c>
      <c r="F554" t="str">
        <f t="shared" si="16"/>
        <v>Absent</v>
      </c>
      <c r="H554" t="str">
        <f t="shared" si="17"/>
        <v>Operations</v>
      </c>
    </row>
    <row r="555" spans="1:8" x14ac:dyDescent="0.35">
      <c r="A555" s="2" t="s">
        <v>133</v>
      </c>
      <c r="B555" s="3">
        <v>46230</v>
      </c>
      <c r="C555" s="2" t="s">
        <v>246</v>
      </c>
      <c r="D555" s="2" t="s">
        <v>11</v>
      </c>
      <c r="E555" t="str">
        <f>IF(OR(A555="", B555=""), "Check missing data", IF(COUNTIFS($A$2:A555, A555, $B$2:B555, B555)&gt;1, "Possible Duplicate", "First Occurrence"))</f>
        <v>First Occurrence</v>
      </c>
      <c r="F555" t="str">
        <f t="shared" si="16"/>
        <v>Present</v>
      </c>
      <c r="H555" t="str">
        <f t="shared" si="17"/>
        <v>Operations</v>
      </c>
    </row>
    <row r="556" spans="1:8" x14ac:dyDescent="0.35">
      <c r="A556" s="2" t="s">
        <v>133</v>
      </c>
      <c r="B556" s="3">
        <v>46294</v>
      </c>
      <c r="C556" s="2" t="s">
        <v>247</v>
      </c>
      <c r="D556" s="2" t="s">
        <v>11</v>
      </c>
      <c r="E556" t="str">
        <f>IF(OR(A556="", B556=""), "Check missing data", IF(COUNTIFS($A$2:A556, A556, $B$2:B556, B556)&gt;1, "Possible Duplicate", "First Occurrence"))</f>
        <v>First Occurrence</v>
      </c>
      <c r="F556" t="str">
        <f t="shared" si="16"/>
        <v>Late</v>
      </c>
      <c r="H556" t="str">
        <f t="shared" si="17"/>
        <v>Operations</v>
      </c>
    </row>
    <row r="557" spans="1:8" x14ac:dyDescent="0.35">
      <c r="A557" s="2" t="s">
        <v>133</v>
      </c>
      <c r="B557" s="3">
        <v>46286</v>
      </c>
      <c r="C557" s="2" t="s">
        <v>246</v>
      </c>
      <c r="D557" s="2" t="s">
        <v>11</v>
      </c>
      <c r="E557" t="str">
        <f>IF(OR(A557="", B557=""), "Check missing data", IF(COUNTIFS($A$2:A557, A557, $B$2:B557, B557)&gt;1, "Possible Duplicate", "First Occurrence"))</f>
        <v>First Occurrence</v>
      </c>
      <c r="F557" t="str">
        <f t="shared" si="16"/>
        <v>Present</v>
      </c>
      <c r="H557" t="str">
        <f t="shared" si="17"/>
        <v>Operations</v>
      </c>
    </row>
    <row r="558" spans="1:8" x14ac:dyDescent="0.35">
      <c r="A558" s="2" t="s">
        <v>133</v>
      </c>
      <c r="B558" s="3">
        <v>46212</v>
      </c>
      <c r="C558" s="2" t="s">
        <v>247</v>
      </c>
      <c r="D558" s="2" t="s">
        <v>11</v>
      </c>
      <c r="E558" t="str">
        <f>IF(OR(A558="", B558=""), "Check missing data", IF(COUNTIFS($A$2:A558, A558, $B$2:B558, B558)&gt;1, "Possible Duplicate", "First Occurrence"))</f>
        <v>First Occurrence</v>
      </c>
      <c r="F558" t="str">
        <f t="shared" si="16"/>
        <v>Late</v>
      </c>
      <c r="H558" t="str">
        <f t="shared" si="17"/>
        <v>Operations</v>
      </c>
    </row>
    <row r="559" spans="1:8" x14ac:dyDescent="0.35">
      <c r="A559" s="2" t="s">
        <v>133</v>
      </c>
      <c r="B559" s="3">
        <v>46282</v>
      </c>
      <c r="C559" s="2" t="s">
        <v>246</v>
      </c>
      <c r="D559" s="2" t="s">
        <v>11</v>
      </c>
      <c r="E559" t="str">
        <f>IF(OR(A559="", B559=""), "Check missing data", IF(COUNTIFS($A$2:A559, A559, $B$2:B559, B559)&gt;1, "Possible Duplicate", "First Occurrence"))</f>
        <v>First Occurrence</v>
      </c>
      <c r="F559" t="str">
        <f t="shared" si="16"/>
        <v>Present</v>
      </c>
      <c r="H559" t="str">
        <f t="shared" si="17"/>
        <v>Operations</v>
      </c>
    </row>
    <row r="560" spans="1:8" x14ac:dyDescent="0.35">
      <c r="A560" s="2" t="s">
        <v>133</v>
      </c>
      <c r="B560" s="3">
        <v>46205</v>
      </c>
      <c r="C560" s="2" t="s">
        <v>246</v>
      </c>
      <c r="D560" s="2" t="s">
        <v>11</v>
      </c>
      <c r="E560" t="str">
        <f>IF(OR(A560="", B560=""), "Check missing data", IF(COUNTIFS($A$2:A560, A560, $B$2:B560, B560)&gt;1, "Possible Duplicate", "First Occurrence"))</f>
        <v>First Occurrence</v>
      </c>
      <c r="F560" t="str">
        <f t="shared" si="16"/>
        <v>Present</v>
      </c>
      <c r="H560" t="str">
        <f t="shared" si="17"/>
        <v>Operations</v>
      </c>
    </row>
    <row r="561" spans="1:8" x14ac:dyDescent="0.35">
      <c r="A561" s="2" t="s">
        <v>133</v>
      </c>
      <c r="B561" s="3">
        <v>46287</v>
      </c>
      <c r="C561" s="2" t="s">
        <v>246</v>
      </c>
      <c r="D561" s="2" t="s">
        <v>11</v>
      </c>
      <c r="E561" t="str">
        <f>IF(OR(A561="", B561=""), "Check missing data", IF(COUNTIFS($A$2:A561, A561, $B$2:B561, B561)&gt;1, "Possible Duplicate", "First Occurrence"))</f>
        <v>First Occurrence</v>
      </c>
      <c r="F561" t="str">
        <f t="shared" si="16"/>
        <v>Present</v>
      </c>
      <c r="H561" t="str">
        <f t="shared" si="17"/>
        <v>Operations</v>
      </c>
    </row>
    <row r="562" spans="1:8" x14ac:dyDescent="0.35">
      <c r="A562" s="2" t="s">
        <v>133</v>
      </c>
      <c r="B562" s="3">
        <v>46268</v>
      </c>
      <c r="C562" s="2" t="s">
        <v>246</v>
      </c>
      <c r="D562" s="2" t="s">
        <v>11</v>
      </c>
      <c r="E562" t="str">
        <f>IF(OR(A562="", B562=""), "Check missing data", IF(COUNTIFS($A$2:A562, A562, $B$2:B562, B562)&gt;1, "Possible Duplicate", "First Occurrence"))</f>
        <v>First Occurrence</v>
      </c>
      <c r="F562" t="str">
        <f t="shared" si="16"/>
        <v>Present</v>
      </c>
      <c r="H562" t="str">
        <f t="shared" si="17"/>
        <v>Operations</v>
      </c>
    </row>
    <row r="563" spans="1:8" x14ac:dyDescent="0.35">
      <c r="A563" s="2" t="s">
        <v>133</v>
      </c>
      <c r="B563" s="3">
        <v>46262</v>
      </c>
      <c r="C563" s="2" t="s">
        <v>247</v>
      </c>
      <c r="D563" s="2" t="s">
        <v>11</v>
      </c>
      <c r="E563" t="str">
        <f>IF(OR(A563="", B563=""), "Check missing data", IF(COUNTIFS($A$2:A563, A563, $B$2:B563, B563)&gt;1, "Possible Duplicate", "First Occurrence"))</f>
        <v>First Occurrence</v>
      </c>
      <c r="F563" t="str">
        <f t="shared" si="16"/>
        <v>Late</v>
      </c>
      <c r="H563" t="str">
        <f t="shared" si="17"/>
        <v>Operations</v>
      </c>
    </row>
    <row r="564" spans="1:8" x14ac:dyDescent="0.35">
      <c r="A564" s="2" t="s">
        <v>133</v>
      </c>
      <c r="B564" s="3">
        <v>46259</v>
      </c>
      <c r="C564" s="2" t="s">
        <v>246</v>
      </c>
      <c r="D564" s="2" t="s">
        <v>11</v>
      </c>
      <c r="E564" t="str">
        <f>IF(OR(A564="", B564=""), "Check missing data", IF(COUNTIFS($A$2:A564, A564, $B$2:B564, B564)&gt;1, "Possible Duplicate", "First Occurrence"))</f>
        <v>First Occurrence</v>
      </c>
      <c r="F564" t="str">
        <f t="shared" si="16"/>
        <v>Present</v>
      </c>
      <c r="H564" t="str">
        <f t="shared" si="17"/>
        <v>Operations</v>
      </c>
    </row>
    <row r="565" spans="1:8" x14ac:dyDescent="0.35">
      <c r="A565" s="2" t="s">
        <v>133</v>
      </c>
      <c r="B565" s="3">
        <v>46269</v>
      </c>
      <c r="C565" s="2" t="s">
        <v>246</v>
      </c>
      <c r="D565" s="2" t="s">
        <v>11</v>
      </c>
      <c r="E565" t="str">
        <f>IF(OR(A565="", B565=""), "Check missing data", IF(COUNTIFS($A$2:A565, A565, $B$2:B565, B565)&gt;1, "Possible Duplicate", "First Occurrence"))</f>
        <v>First Occurrence</v>
      </c>
      <c r="F565" t="str">
        <f t="shared" si="16"/>
        <v>Present</v>
      </c>
      <c r="H565" t="str">
        <f t="shared" si="17"/>
        <v>Operations</v>
      </c>
    </row>
    <row r="566" spans="1:8" x14ac:dyDescent="0.35">
      <c r="A566" s="2" t="s">
        <v>135</v>
      </c>
      <c r="B566" s="3">
        <v>46281</v>
      </c>
      <c r="C566" s="2" t="s">
        <v>246</v>
      </c>
      <c r="D566" s="2" t="s">
        <v>33</v>
      </c>
      <c r="E566" t="str">
        <f>IF(OR(A566="", B566=""), "Check missing data", IF(COUNTIFS($A$2:A566, A566, $B$2:B566, B566)&gt;1, "Possible Duplicate", "First Occurrence"))</f>
        <v>First Occurrence</v>
      </c>
      <c r="F566" t="str">
        <f t="shared" si="16"/>
        <v>Present</v>
      </c>
      <c r="H566" t="str">
        <f t="shared" si="17"/>
        <v>Sales</v>
      </c>
    </row>
    <row r="567" spans="1:8" x14ac:dyDescent="0.35">
      <c r="A567" s="2" t="s">
        <v>135</v>
      </c>
      <c r="B567" s="3">
        <v>46246</v>
      </c>
      <c r="C567" s="2" t="s">
        <v>245</v>
      </c>
      <c r="D567" s="2" t="s">
        <v>33</v>
      </c>
      <c r="E567" t="str">
        <f>IF(OR(A567="", B567=""), "Check missing data", IF(COUNTIFS($A$2:A567, A567, $B$2:B567, B567)&gt;1, "Possible Duplicate", "First Occurrence"))</f>
        <v>First Occurrence</v>
      </c>
      <c r="F567" t="str">
        <f t="shared" si="16"/>
        <v>Absent</v>
      </c>
      <c r="H567" t="str">
        <f t="shared" si="17"/>
        <v>Sales</v>
      </c>
    </row>
    <row r="568" spans="1:8" x14ac:dyDescent="0.35">
      <c r="A568" s="2" t="s">
        <v>135</v>
      </c>
      <c r="B568" s="3">
        <v>46255</v>
      </c>
      <c r="C568" s="2" t="s">
        <v>246</v>
      </c>
      <c r="D568" s="2" t="s">
        <v>33</v>
      </c>
      <c r="E568" t="str">
        <f>IF(OR(A568="", B568=""), "Check missing data", IF(COUNTIFS($A$2:A568, A568, $B$2:B568, B568)&gt;1, "Possible Duplicate", "First Occurrence"))</f>
        <v>First Occurrence</v>
      </c>
      <c r="F568" t="str">
        <f t="shared" si="16"/>
        <v>Present</v>
      </c>
      <c r="H568" t="str">
        <f t="shared" si="17"/>
        <v>Sales</v>
      </c>
    </row>
    <row r="569" spans="1:8" x14ac:dyDescent="0.35">
      <c r="A569" s="2" t="s">
        <v>135</v>
      </c>
      <c r="B569" s="3">
        <v>46211</v>
      </c>
      <c r="C569" s="2" t="s">
        <v>246</v>
      </c>
      <c r="D569" s="2" t="s">
        <v>33</v>
      </c>
      <c r="E569" t="str">
        <f>IF(OR(A569="", B569=""), "Check missing data", IF(COUNTIFS($A$2:A569, A569, $B$2:B569, B569)&gt;1, "Possible Duplicate", "First Occurrence"))</f>
        <v>First Occurrence</v>
      </c>
      <c r="F569" t="str">
        <f t="shared" si="16"/>
        <v>Present</v>
      </c>
      <c r="H569" t="str">
        <f t="shared" si="17"/>
        <v>Sales</v>
      </c>
    </row>
    <row r="570" spans="1:8" x14ac:dyDescent="0.35">
      <c r="A570" s="2" t="s">
        <v>135</v>
      </c>
      <c r="B570" s="3">
        <v>46239</v>
      </c>
      <c r="C570" s="2" t="s">
        <v>246</v>
      </c>
      <c r="D570" s="2" t="s">
        <v>33</v>
      </c>
      <c r="E570" t="str">
        <f>IF(OR(A570="", B570=""), "Check missing data", IF(COUNTIFS($A$2:A570, A570, $B$2:B570, B570)&gt;1, "Possible Duplicate", "First Occurrence"))</f>
        <v>First Occurrence</v>
      </c>
      <c r="F570" t="str">
        <f t="shared" si="16"/>
        <v>Present</v>
      </c>
      <c r="H570" t="str">
        <f t="shared" si="17"/>
        <v>Sales</v>
      </c>
    </row>
    <row r="571" spans="1:8" x14ac:dyDescent="0.35">
      <c r="A571" s="2" t="s">
        <v>135</v>
      </c>
      <c r="B571" s="3">
        <v>46224</v>
      </c>
      <c r="C571" s="2" t="s">
        <v>246</v>
      </c>
      <c r="D571" s="2" t="s">
        <v>33</v>
      </c>
      <c r="E571" t="str">
        <f>IF(OR(A571="", B571=""), "Check missing data", IF(COUNTIFS($A$2:A571, A571, $B$2:B571, B571)&gt;1, "Possible Duplicate", "First Occurrence"))</f>
        <v>First Occurrence</v>
      </c>
      <c r="F571" t="str">
        <f t="shared" si="16"/>
        <v>Present</v>
      </c>
      <c r="H571" t="str">
        <f t="shared" si="17"/>
        <v>Sales</v>
      </c>
    </row>
    <row r="572" spans="1:8" x14ac:dyDescent="0.35">
      <c r="A572" s="2" t="s">
        <v>135</v>
      </c>
      <c r="B572" s="3">
        <v>46223</v>
      </c>
      <c r="C572" s="2" t="s">
        <v>246</v>
      </c>
      <c r="D572" s="2" t="s">
        <v>33</v>
      </c>
      <c r="E572" t="str">
        <f>IF(OR(A572="", B572=""), "Check missing data", IF(COUNTIFS($A$2:A572, A572, $B$2:B572, B572)&gt;1, "Possible Duplicate", "First Occurrence"))</f>
        <v>First Occurrence</v>
      </c>
      <c r="F572" t="str">
        <f t="shared" si="16"/>
        <v>Present</v>
      </c>
      <c r="H572" t="str">
        <f t="shared" si="17"/>
        <v>Sales</v>
      </c>
    </row>
    <row r="573" spans="1:8" x14ac:dyDescent="0.35">
      <c r="A573" s="2" t="s">
        <v>135</v>
      </c>
      <c r="B573" s="3">
        <v>46234</v>
      </c>
      <c r="C573" s="2" t="s">
        <v>247</v>
      </c>
      <c r="D573" s="2" t="s">
        <v>33</v>
      </c>
      <c r="E573" t="str">
        <f>IF(OR(A573="", B573=""), "Check missing data", IF(COUNTIFS($A$2:A573, A573, $B$2:B573, B573)&gt;1, "Possible Duplicate", "First Occurrence"))</f>
        <v>First Occurrence</v>
      </c>
      <c r="F573" t="str">
        <f t="shared" si="16"/>
        <v>Late</v>
      </c>
      <c r="H573" t="str">
        <f t="shared" si="17"/>
        <v>Sales</v>
      </c>
    </row>
    <row r="574" spans="1:8" x14ac:dyDescent="0.35">
      <c r="A574" s="2" t="s">
        <v>135</v>
      </c>
      <c r="B574" s="3">
        <v>46218</v>
      </c>
      <c r="C574" s="2" t="s">
        <v>245</v>
      </c>
      <c r="D574" s="2" t="s">
        <v>33</v>
      </c>
      <c r="E574" t="str">
        <f>IF(OR(A574="", B574=""), "Check missing data", IF(COUNTIFS($A$2:A574, A574, $B$2:B574, B574)&gt;1, "Possible Duplicate", "First Occurrence"))</f>
        <v>First Occurrence</v>
      </c>
      <c r="F574" t="str">
        <f t="shared" si="16"/>
        <v>Absent</v>
      </c>
      <c r="H574" t="str">
        <f t="shared" si="17"/>
        <v>Sales</v>
      </c>
    </row>
    <row r="575" spans="1:8" x14ac:dyDescent="0.35">
      <c r="A575" s="2" t="s">
        <v>135</v>
      </c>
      <c r="B575" s="3">
        <v>46280</v>
      </c>
      <c r="C575" s="2" t="s">
        <v>245</v>
      </c>
      <c r="D575" s="2" t="s">
        <v>33</v>
      </c>
      <c r="E575" t="str">
        <f>IF(OR(A575="", B575=""), "Check missing data", IF(COUNTIFS($A$2:A575, A575, $B$2:B575, B575)&gt;1, "Possible Duplicate", "First Occurrence"))</f>
        <v>First Occurrence</v>
      </c>
      <c r="F575" t="str">
        <f t="shared" si="16"/>
        <v>Absent</v>
      </c>
      <c r="H575" t="str">
        <f t="shared" si="17"/>
        <v>Sales</v>
      </c>
    </row>
    <row r="576" spans="1:8" x14ac:dyDescent="0.35">
      <c r="A576" s="2" t="s">
        <v>135</v>
      </c>
      <c r="B576" s="3">
        <v>46276</v>
      </c>
      <c r="C576" s="2" t="s">
        <v>246</v>
      </c>
      <c r="D576" s="2" t="s">
        <v>33</v>
      </c>
      <c r="E576" t="str">
        <f>IF(OR(A576="", B576=""), "Check missing data", IF(COUNTIFS($A$2:A576, A576, $B$2:B576, B576)&gt;1, "Possible Duplicate", "First Occurrence"))</f>
        <v>First Occurrence</v>
      </c>
      <c r="F576" t="str">
        <f t="shared" si="16"/>
        <v>Present</v>
      </c>
      <c r="H576" t="str">
        <f t="shared" si="17"/>
        <v>Sales</v>
      </c>
    </row>
    <row r="577" spans="1:8" x14ac:dyDescent="0.35">
      <c r="A577" s="2" t="s">
        <v>135</v>
      </c>
      <c r="B577" s="3">
        <v>46248</v>
      </c>
      <c r="C577" s="2" t="s">
        <v>246</v>
      </c>
      <c r="D577" s="2" t="s">
        <v>33</v>
      </c>
      <c r="E577" t="str">
        <f>IF(OR(A577="", B577=""), "Check missing data", IF(COUNTIFS($A$2:A577, A577, $B$2:B577, B577)&gt;1, "Possible Duplicate", "First Occurrence"))</f>
        <v>First Occurrence</v>
      </c>
      <c r="F577" t="str">
        <f t="shared" si="16"/>
        <v>Present</v>
      </c>
      <c r="H577" t="str">
        <f t="shared" si="17"/>
        <v>Sales</v>
      </c>
    </row>
    <row r="578" spans="1:8" x14ac:dyDescent="0.35">
      <c r="A578" s="2" t="s">
        <v>137</v>
      </c>
      <c r="B578" s="3">
        <v>46247</v>
      </c>
      <c r="C578" s="2" t="s">
        <v>245</v>
      </c>
      <c r="D578" s="2" t="s">
        <v>41</v>
      </c>
      <c r="E578" t="str">
        <f>IF(OR(A578="", B578=""), "Check missing data", IF(COUNTIFS($A$2:A578, A578, $B$2:B578, B578)&gt;1, "Possible Duplicate", "First Occurrence"))</f>
        <v>First Occurrence</v>
      </c>
      <c r="F578" t="str">
        <f t="shared" si="16"/>
        <v>Absent</v>
      </c>
      <c r="H578" t="str">
        <f t="shared" si="17"/>
        <v>Human Resources</v>
      </c>
    </row>
    <row r="579" spans="1:8" x14ac:dyDescent="0.35">
      <c r="A579" s="2" t="s">
        <v>137</v>
      </c>
      <c r="B579" s="3">
        <v>46241</v>
      </c>
      <c r="C579" s="2" t="s">
        <v>247</v>
      </c>
      <c r="D579" s="2" t="s">
        <v>41</v>
      </c>
      <c r="E579" t="str">
        <f>IF(OR(A579="", B579=""), "Check missing data", IF(COUNTIFS($A$2:A579, A579, $B$2:B579, B579)&gt;1, "Possible Duplicate", "First Occurrence"))</f>
        <v>First Occurrence</v>
      </c>
      <c r="F579" t="str">
        <f t="shared" ref="F579:F642" si="18">PROPER(TRIM(C579))</f>
        <v>Late</v>
      </c>
      <c r="H579" t="str">
        <f t="shared" ref="H579:H642" si="19">TRIM(CLEAN(D579))</f>
        <v>Human Resources</v>
      </c>
    </row>
    <row r="580" spans="1:8" x14ac:dyDescent="0.35">
      <c r="A580" s="2" t="s">
        <v>137</v>
      </c>
      <c r="B580" s="3">
        <v>46261</v>
      </c>
      <c r="C580" s="2" t="s">
        <v>247</v>
      </c>
      <c r="D580" s="2" t="s">
        <v>41</v>
      </c>
      <c r="E580" t="str">
        <f>IF(OR(A580="", B580=""), "Check missing data", IF(COUNTIFS($A$2:A580, A580, $B$2:B580, B580)&gt;1, "Possible Duplicate", "First Occurrence"))</f>
        <v>First Occurrence</v>
      </c>
      <c r="F580" t="str">
        <f t="shared" si="18"/>
        <v>Late</v>
      </c>
      <c r="H580" t="str">
        <f t="shared" si="19"/>
        <v>Human Resources</v>
      </c>
    </row>
    <row r="581" spans="1:8" x14ac:dyDescent="0.35">
      <c r="A581" s="2" t="s">
        <v>137</v>
      </c>
      <c r="B581" s="3">
        <v>46276</v>
      </c>
      <c r="C581" s="2" t="s">
        <v>30</v>
      </c>
      <c r="D581" s="2" t="s">
        <v>41</v>
      </c>
      <c r="E581" t="str">
        <f>IF(OR(A581="", B581=""), "Check missing data", IF(COUNTIFS($A$2:A581, A581, $B$2:B581, B581)&gt;1, "Possible Duplicate", "First Occurrence"))</f>
        <v>First Occurrence</v>
      </c>
      <c r="F581" t="str">
        <f t="shared" si="18"/>
        <v>On Leave</v>
      </c>
      <c r="H581" t="str">
        <f t="shared" si="19"/>
        <v>Human Resources</v>
      </c>
    </row>
    <row r="582" spans="1:8" x14ac:dyDescent="0.35">
      <c r="A582" s="2" t="s">
        <v>137</v>
      </c>
      <c r="B582" s="3">
        <v>46211</v>
      </c>
      <c r="C582" s="2" t="s">
        <v>247</v>
      </c>
      <c r="D582" s="2" t="s">
        <v>41</v>
      </c>
      <c r="E582" t="str">
        <f>IF(OR(A582="", B582=""), "Check missing data", IF(COUNTIFS($A$2:A582, A582, $B$2:B582, B582)&gt;1, "Possible Duplicate", "First Occurrence"))</f>
        <v>First Occurrence</v>
      </c>
      <c r="F582" t="str">
        <f t="shared" si="18"/>
        <v>Late</v>
      </c>
      <c r="H582" t="str">
        <f t="shared" si="19"/>
        <v>Human Resources</v>
      </c>
    </row>
    <row r="583" spans="1:8" x14ac:dyDescent="0.35">
      <c r="A583" s="2" t="s">
        <v>137</v>
      </c>
      <c r="B583" s="3">
        <v>46253</v>
      </c>
      <c r="C583" s="2" t="s">
        <v>30</v>
      </c>
      <c r="D583" s="2" t="s">
        <v>41</v>
      </c>
      <c r="E583" t="str">
        <f>IF(OR(A583="", B583=""), "Check missing data", IF(COUNTIFS($A$2:A583, A583, $B$2:B583, B583)&gt;1, "Possible Duplicate", "First Occurrence"))</f>
        <v>First Occurrence</v>
      </c>
      <c r="F583" t="str">
        <f t="shared" si="18"/>
        <v>On Leave</v>
      </c>
      <c r="H583" t="str">
        <f t="shared" si="19"/>
        <v>Human Resources</v>
      </c>
    </row>
    <row r="584" spans="1:8" x14ac:dyDescent="0.35">
      <c r="A584" s="2" t="s">
        <v>137</v>
      </c>
      <c r="B584" s="3">
        <v>46287</v>
      </c>
      <c r="C584" s="2" t="s">
        <v>246</v>
      </c>
      <c r="D584" s="2" t="s">
        <v>41</v>
      </c>
      <c r="E584" t="str">
        <f>IF(OR(A584="", B584=""), "Check missing data", IF(COUNTIFS($A$2:A584, A584, $B$2:B584, B584)&gt;1, "Possible Duplicate", "First Occurrence"))</f>
        <v>First Occurrence</v>
      </c>
      <c r="F584" t="str">
        <f t="shared" si="18"/>
        <v>Present</v>
      </c>
      <c r="H584" t="str">
        <f t="shared" si="19"/>
        <v>Human Resources</v>
      </c>
    </row>
    <row r="585" spans="1:8" x14ac:dyDescent="0.35">
      <c r="A585" s="2" t="s">
        <v>137</v>
      </c>
      <c r="B585" s="3">
        <v>46245</v>
      </c>
      <c r="C585" s="2" t="s">
        <v>246</v>
      </c>
      <c r="D585" s="2" t="s">
        <v>41</v>
      </c>
      <c r="E585" t="str">
        <f>IF(OR(A585="", B585=""), "Check missing data", IF(COUNTIFS($A$2:A585, A585, $B$2:B585, B585)&gt;1, "Possible Duplicate", "First Occurrence"))</f>
        <v>First Occurrence</v>
      </c>
      <c r="F585" t="str">
        <f t="shared" si="18"/>
        <v>Present</v>
      </c>
      <c r="H585" t="str">
        <f t="shared" si="19"/>
        <v>Human Resources</v>
      </c>
    </row>
    <row r="586" spans="1:8" x14ac:dyDescent="0.35">
      <c r="A586" s="2" t="s">
        <v>137</v>
      </c>
      <c r="B586" s="3">
        <v>46262</v>
      </c>
      <c r="C586" s="2" t="s">
        <v>247</v>
      </c>
      <c r="D586" s="2" t="s">
        <v>41</v>
      </c>
      <c r="E586" t="str">
        <f>IF(OR(A586="", B586=""), "Check missing data", IF(COUNTIFS($A$2:A586, A586, $B$2:B586, B586)&gt;1, "Possible Duplicate", "First Occurrence"))</f>
        <v>First Occurrence</v>
      </c>
      <c r="F586" t="str">
        <f t="shared" si="18"/>
        <v>Late</v>
      </c>
      <c r="H586" t="str">
        <f t="shared" si="19"/>
        <v>Human Resources</v>
      </c>
    </row>
    <row r="587" spans="1:8" x14ac:dyDescent="0.35">
      <c r="A587" s="2" t="s">
        <v>137</v>
      </c>
      <c r="B587" s="3">
        <v>46217</v>
      </c>
      <c r="C587" s="2" t="s">
        <v>246</v>
      </c>
      <c r="D587" s="2" t="s">
        <v>41</v>
      </c>
      <c r="E587" t="str">
        <f>IF(OR(A587="", B587=""), "Check missing data", IF(COUNTIFS($A$2:A587, A587, $B$2:B587, B587)&gt;1, "Possible Duplicate", "First Occurrence"))</f>
        <v>First Occurrence</v>
      </c>
      <c r="F587" t="str">
        <f t="shared" si="18"/>
        <v>Present</v>
      </c>
      <c r="H587" t="str">
        <f t="shared" si="19"/>
        <v>Human Resources</v>
      </c>
    </row>
    <row r="588" spans="1:8" x14ac:dyDescent="0.35">
      <c r="A588" s="2" t="s">
        <v>137</v>
      </c>
      <c r="B588" s="3">
        <v>46272</v>
      </c>
      <c r="C588" s="2" t="s">
        <v>245</v>
      </c>
      <c r="D588" s="2" t="s">
        <v>41</v>
      </c>
      <c r="E588" t="str">
        <f>IF(OR(A588="", B588=""), "Check missing data", IF(COUNTIFS($A$2:A588, A588, $B$2:B588, B588)&gt;1, "Possible Duplicate", "First Occurrence"))</f>
        <v>First Occurrence</v>
      </c>
      <c r="F588" t="str">
        <f t="shared" si="18"/>
        <v>Absent</v>
      </c>
      <c r="H588" t="str">
        <f t="shared" si="19"/>
        <v>Human Resources</v>
      </c>
    </row>
    <row r="589" spans="1:8" x14ac:dyDescent="0.35">
      <c r="A589" s="2" t="s">
        <v>137</v>
      </c>
      <c r="B589" s="3">
        <v>46289</v>
      </c>
      <c r="C589" s="2" t="s">
        <v>30</v>
      </c>
      <c r="D589" s="2" t="s">
        <v>41</v>
      </c>
      <c r="E589" t="str">
        <f>IF(OR(A589="", B589=""), "Check missing data", IF(COUNTIFS($A$2:A589, A589, $B$2:B589, B589)&gt;1, "Possible Duplicate", "First Occurrence"))</f>
        <v>First Occurrence</v>
      </c>
      <c r="F589" t="str">
        <f t="shared" si="18"/>
        <v>On Leave</v>
      </c>
      <c r="H589" t="str">
        <f t="shared" si="19"/>
        <v>Human Resources</v>
      </c>
    </row>
    <row r="590" spans="1:8" x14ac:dyDescent="0.35">
      <c r="A590" s="2" t="s">
        <v>139</v>
      </c>
      <c r="B590" s="3">
        <v>46252</v>
      </c>
      <c r="C590" s="2" t="s">
        <v>247</v>
      </c>
      <c r="D590" s="2" t="s">
        <v>11</v>
      </c>
      <c r="E590" t="str">
        <f>IF(OR(A590="", B590=""), "Check missing data", IF(COUNTIFS($A$2:A590, A590, $B$2:B590, B590)&gt;1, "Possible Duplicate", "First Occurrence"))</f>
        <v>First Occurrence</v>
      </c>
      <c r="F590" t="str">
        <f t="shared" si="18"/>
        <v>Late</v>
      </c>
      <c r="H590" t="str">
        <f t="shared" si="19"/>
        <v>Operations</v>
      </c>
    </row>
    <row r="591" spans="1:8" x14ac:dyDescent="0.35">
      <c r="A591" s="2" t="s">
        <v>139</v>
      </c>
      <c r="B591" s="3">
        <v>46251</v>
      </c>
      <c r="C591" s="2" t="s">
        <v>30</v>
      </c>
      <c r="D591" s="2" t="s">
        <v>11</v>
      </c>
      <c r="E591" t="str">
        <f>IF(OR(A591="", B591=""), "Check missing data", IF(COUNTIFS($A$2:A591, A591, $B$2:B591, B591)&gt;1, "Possible Duplicate", "First Occurrence"))</f>
        <v>First Occurrence</v>
      </c>
      <c r="F591" t="str">
        <f t="shared" si="18"/>
        <v>On Leave</v>
      </c>
      <c r="H591" t="str">
        <f t="shared" si="19"/>
        <v>Operations</v>
      </c>
    </row>
    <row r="592" spans="1:8" x14ac:dyDescent="0.35">
      <c r="A592" s="2" t="s">
        <v>139</v>
      </c>
      <c r="B592" s="3">
        <v>46237</v>
      </c>
      <c r="C592" s="2" t="s">
        <v>246</v>
      </c>
      <c r="D592" s="2" t="s">
        <v>11</v>
      </c>
      <c r="E592" t="str">
        <f>IF(OR(A592="", B592=""), "Check missing data", IF(COUNTIFS($A$2:A592, A592, $B$2:B592, B592)&gt;1, "Possible Duplicate", "First Occurrence"))</f>
        <v>First Occurrence</v>
      </c>
      <c r="F592" t="str">
        <f t="shared" si="18"/>
        <v>Present</v>
      </c>
      <c r="H592" t="str">
        <f t="shared" si="19"/>
        <v>Operations</v>
      </c>
    </row>
    <row r="593" spans="1:8" x14ac:dyDescent="0.35">
      <c r="A593" s="2" t="s">
        <v>139</v>
      </c>
      <c r="B593" s="3">
        <v>46230</v>
      </c>
      <c r="C593" s="2" t="s">
        <v>246</v>
      </c>
      <c r="D593" s="2" t="s">
        <v>11</v>
      </c>
      <c r="E593" t="str">
        <f>IF(OR(A593="", B593=""), "Check missing data", IF(COUNTIFS($A$2:A593, A593, $B$2:B593, B593)&gt;1, "Possible Duplicate", "First Occurrence"))</f>
        <v>First Occurrence</v>
      </c>
      <c r="F593" t="str">
        <f t="shared" si="18"/>
        <v>Present</v>
      </c>
      <c r="H593" t="str">
        <f t="shared" si="19"/>
        <v>Operations</v>
      </c>
    </row>
    <row r="594" spans="1:8" x14ac:dyDescent="0.35">
      <c r="A594" s="2" t="s">
        <v>139</v>
      </c>
      <c r="B594" s="3">
        <v>46246</v>
      </c>
      <c r="C594" s="2" t="s">
        <v>246</v>
      </c>
      <c r="D594" s="2" t="s">
        <v>11</v>
      </c>
      <c r="E594" t="str">
        <f>IF(OR(A594="", B594=""), "Check missing data", IF(COUNTIFS($A$2:A594, A594, $B$2:B594, B594)&gt;1, "Possible Duplicate", "First Occurrence"))</f>
        <v>First Occurrence</v>
      </c>
      <c r="F594" t="str">
        <f t="shared" si="18"/>
        <v>Present</v>
      </c>
      <c r="H594" t="str">
        <f t="shared" si="19"/>
        <v>Operations</v>
      </c>
    </row>
    <row r="595" spans="1:8" x14ac:dyDescent="0.35">
      <c r="A595" s="2" t="s">
        <v>139</v>
      </c>
      <c r="B595" s="3">
        <v>46275</v>
      </c>
      <c r="C595" s="2" t="s">
        <v>246</v>
      </c>
      <c r="D595" s="2" t="s">
        <v>11</v>
      </c>
      <c r="E595" t="str">
        <f>IF(OR(A595="", B595=""), "Check missing data", IF(COUNTIFS($A$2:A595, A595, $B$2:B595, B595)&gt;1, "Possible Duplicate", "First Occurrence"))</f>
        <v>First Occurrence</v>
      </c>
      <c r="F595" t="str">
        <f t="shared" si="18"/>
        <v>Present</v>
      </c>
      <c r="H595" t="str">
        <f t="shared" si="19"/>
        <v>Operations</v>
      </c>
    </row>
    <row r="596" spans="1:8" x14ac:dyDescent="0.35">
      <c r="A596" s="2" t="s">
        <v>139</v>
      </c>
      <c r="B596" s="3">
        <v>46276</v>
      </c>
      <c r="C596" s="2" t="s">
        <v>246</v>
      </c>
      <c r="D596" s="2" t="s">
        <v>11</v>
      </c>
      <c r="E596" t="str">
        <f>IF(OR(A596="", B596=""), "Check missing data", IF(COUNTIFS($A$2:A596, A596, $B$2:B596, B596)&gt;1, "Possible Duplicate", "First Occurrence"))</f>
        <v>First Occurrence</v>
      </c>
      <c r="F596" t="str">
        <f t="shared" si="18"/>
        <v>Present</v>
      </c>
      <c r="H596" t="str">
        <f t="shared" si="19"/>
        <v>Operations</v>
      </c>
    </row>
    <row r="597" spans="1:8" x14ac:dyDescent="0.35">
      <c r="A597" s="2" t="s">
        <v>139</v>
      </c>
      <c r="B597" s="3">
        <v>46290</v>
      </c>
      <c r="C597" s="2" t="s">
        <v>247</v>
      </c>
      <c r="D597" s="2" t="s">
        <v>11</v>
      </c>
      <c r="E597" t="str">
        <f>IF(OR(A597="", B597=""), "Check missing data", IF(COUNTIFS($A$2:A597, A597, $B$2:B597, B597)&gt;1, "Possible Duplicate", "First Occurrence"))</f>
        <v>First Occurrence</v>
      </c>
      <c r="F597" t="str">
        <f t="shared" si="18"/>
        <v>Late</v>
      </c>
      <c r="H597" t="str">
        <f t="shared" si="19"/>
        <v>Operations</v>
      </c>
    </row>
    <row r="598" spans="1:8" x14ac:dyDescent="0.35">
      <c r="A598" s="2" t="s">
        <v>139</v>
      </c>
      <c r="B598" s="3">
        <v>46267</v>
      </c>
      <c r="C598" s="2" t="s">
        <v>246</v>
      </c>
      <c r="D598" s="2" t="s">
        <v>11</v>
      </c>
      <c r="E598" t="str">
        <f>IF(OR(A598="", B598=""), "Check missing data", IF(COUNTIFS($A$2:A598, A598, $B$2:B598, B598)&gt;1, "Possible Duplicate", "First Occurrence"))</f>
        <v>First Occurrence</v>
      </c>
      <c r="F598" t="str">
        <f t="shared" si="18"/>
        <v>Present</v>
      </c>
      <c r="H598" t="str">
        <f t="shared" si="19"/>
        <v>Operations</v>
      </c>
    </row>
    <row r="599" spans="1:8" x14ac:dyDescent="0.35">
      <c r="A599" s="2" t="s">
        <v>139</v>
      </c>
      <c r="B599" s="3">
        <v>46293</v>
      </c>
      <c r="C599" s="2" t="s">
        <v>247</v>
      </c>
      <c r="D599" s="2" t="s">
        <v>11</v>
      </c>
      <c r="E599" t="str">
        <f>IF(OR(A599="", B599=""), "Check missing data", IF(COUNTIFS($A$2:A599, A599, $B$2:B599, B599)&gt;1, "Possible Duplicate", "First Occurrence"))</f>
        <v>First Occurrence</v>
      </c>
      <c r="F599" t="str">
        <f t="shared" si="18"/>
        <v>Late</v>
      </c>
      <c r="H599" t="str">
        <f t="shared" si="19"/>
        <v>Operations</v>
      </c>
    </row>
    <row r="600" spans="1:8" x14ac:dyDescent="0.35">
      <c r="A600" s="2" t="s">
        <v>139</v>
      </c>
      <c r="B600" s="3">
        <v>46286</v>
      </c>
      <c r="C600" s="2" t="s">
        <v>30</v>
      </c>
      <c r="D600" s="2" t="s">
        <v>11</v>
      </c>
      <c r="E600" t="str">
        <f>IF(OR(A600="", B600=""), "Check missing data", IF(COUNTIFS($A$2:A600, A600, $B$2:B600, B600)&gt;1, "Possible Duplicate", "First Occurrence"))</f>
        <v>First Occurrence</v>
      </c>
      <c r="F600" t="str">
        <f t="shared" si="18"/>
        <v>On Leave</v>
      </c>
      <c r="H600" t="str">
        <f t="shared" si="19"/>
        <v>Operations</v>
      </c>
    </row>
    <row r="601" spans="1:8" x14ac:dyDescent="0.35">
      <c r="A601" s="2" t="s">
        <v>139</v>
      </c>
      <c r="B601" s="3">
        <v>46283</v>
      </c>
      <c r="C601" s="2" t="s">
        <v>30</v>
      </c>
      <c r="D601" s="2" t="s">
        <v>11</v>
      </c>
      <c r="E601" t="str">
        <f>IF(OR(A601="", B601=""), "Check missing data", IF(COUNTIFS($A$2:A601, A601, $B$2:B601, B601)&gt;1, "Possible Duplicate", "First Occurrence"))</f>
        <v>First Occurrence</v>
      </c>
      <c r="F601" t="str">
        <f t="shared" si="18"/>
        <v>On Leave</v>
      </c>
      <c r="H601" t="str">
        <f t="shared" si="19"/>
        <v>Operations</v>
      </c>
    </row>
    <row r="602" spans="1:8" x14ac:dyDescent="0.35">
      <c r="A602" s="2" t="s">
        <v>142</v>
      </c>
      <c r="B602" s="3">
        <v>46295</v>
      </c>
      <c r="C602" s="2" t="s">
        <v>246</v>
      </c>
      <c r="D602" s="2" t="s">
        <v>37</v>
      </c>
      <c r="E602" t="str">
        <f>IF(OR(A602="", B602=""), "Check missing data", IF(COUNTIFS($A$2:A602, A602, $B$2:B602, B602)&gt;1, "Possible Duplicate", "First Occurrence"))</f>
        <v>First Occurrence</v>
      </c>
      <c r="F602" t="str">
        <f t="shared" si="18"/>
        <v>Present</v>
      </c>
      <c r="H602" t="str">
        <f t="shared" si="19"/>
        <v>Customer Support</v>
      </c>
    </row>
    <row r="603" spans="1:8" x14ac:dyDescent="0.35">
      <c r="A603" s="2" t="s">
        <v>142</v>
      </c>
      <c r="B603" s="3">
        <v>46286</v>
      </c>
      <c r="C603" s="2" t="s">
        <v>246</v>
      </c>
      <c r="D603" s="2" t="s">
        <v>37</v>
      </c>
      <c r="E603" t="str">
        <f>IF(OR(A603="", B603=""), "Check missing data", IF(COUNTIFS($A$2:A603, A603, $B$2:B603, B603)&gt;1, "Possible Duplicate", "First Occurrence"))</f>
        <v>First Occurrence</v>
      </c>
      <c r="F603" t="str">
        <f t="shared" si="18"/>
        <v>Present</v>
      </c>
      <c r="H603" t="str">
        <f t="shared" si="19"/>
        <v>Customer Support</v>
      </c>
    </row>
    <row r="604" spans="1:8" x14ac:dyDescent="0.35">
      <c r="A604" s="2" t="s">
        <v>142</v>
      </c>
      <c r="B604" s="3">
        <v>46289</v>
      </c>
      <c r="C604" s="2" t="s">
        <v>246</v>
      </c>
      <c r="D604" s="2" t="s">
        <v>37</v>
      </c>
      <c r="E604" t="str">
        <f>IF(OR(A604="", B604=""), "Check missing data", IF(COUNTIFS($A$2:A604, A604, $B$2:B604, B604)&gt;1, "Possible Duplicate", "First Occurrence"))</f>
        <v>First Occurrence</v>
      </c>
      <c r="F604" t="str">
        <f t="shared" si="18"/>
        <v>Present</v>
      </c>
      <c r="H604" t="str">
        <f t="shared" si="19"/>
        <v>Customer Support</v>
      </c>
    </row>
    <row r="605" spans="1:8" x14ac:dyDescent="0.35">
      <c r="A605" s="2" t="s">
        <v>142</v>
      </c>
      <c r="B605" s="3">
        <v>46234</v>
      </c>
      <c r="C605" s="2" t="s">
        <v>246</v>
      </c>
      <c r="D605" s="2" t="s">
        <v>37</v>
      </c>
      <c r="E605" t="str">
        <f>IF(OR(A605="", B605=""), "Check missing data", IF(COUNTIFS($A$2:A605, A605, $B$2:B605, B605)&gt;1, "Possible Duplicate", "First Occurrence"))</f>
        <v>First Occurrence</v>
      </c>
      <c r="F605" t="str">
        <f t="shared" si="18"/>
        <v>Present</v>
      </c>
      <c r="H605" t="str">
        <f t="shared" si="19"/>
        <v>Customer Support</v>
      </c>
    </row>
    <row r="606" spans="1:8" x14ac:dyDescent="0.35">
      <c r="A606" s="2" t="s">
        <v>142</v>
      </c>
      <c r="B606" s="3">
        <v>46240</v>
      </c>
      <c r="C606" s="2" t="s">
        <v>246</v>
      </c>
      <c r="D606" s="2" t="s">
        <v>37</v>
      </c>
      <c r="E606" t="str">
        <f>IF(OR(A606="", B606=""), "Check missing data", IF(COUNTIFS($A$2:A606, A606, $B$2:B606, B606)&gt;1, "Possible Duplicate", "First Occurrence"))</f>
        <v>First Occurrence</v>
      </c>
      <c r="F606" t="str">
        <f t="shared" si="18"/>
        <v>Present</v>
      </c>
      <c r="H606" t="str">
        <f t="shared" si="19"/>
        <v>Customer Support</v>
      </c>
    </row>
    <row r="607" spans="1:8" x14ac:dyDescent="0.35">
      <c r="A607" s="2" t="s">
        <v>142</v>
      </c>
      <c r="B607" s="3">
        <v>46241</v>
      </c>
      <c r="C607" s="2" t="s">
        <v>245</v>
      </c>
      <c r="D607" s="2" t="s">
        <v>37</v>
      </c>
      <c r="E607" t="str">
        <f>IF(OR(A607="", B607=""), "Check missing data", IF(COUNTIFS($A$2:A607, A607, $B$2:B607, B607)&gt;1, "Possible Duplicate", "First Occurrence"))</f>
        <v>First Occurrence</v>
      </c>
      <c r="F607" t="str">
        <f t="shared" si="18"/>
        <v>Absent</v>
      </c>
      <c r="H607" t="str">
        <f t="shared" si="19"/>
        <v>Customer Support</v>
      </c>
    </row>
    <row r="608" spans="1:8" x14ac:dyDescent="0.35">
      <c r="A608" s="2" t="s">
        <v>142</v>
      </c>
      <c r="B608" s="3">
        <v>46274</v>
      </c>
      <c r="C608" s="2" t="s">
        <v>245</v>
      </c>
      <c r="D608" s="2" t="s">
        <v>37</v>
      </c>
      <c r="E608" t="str">
        <f>IF(OR(A608="", B608=""), "Check missing data", IF(COUNTIFS($A$2:A608, A608, $B$2:B608, B608)&gt;1, "Possible Duplicate", "First Occurrence"))</f>
        <v>First Occurrence</v>
      </c>
      <c r="F608" t="str">
        <f t="shared" si="18"/>
        <v>Absent</v>
      </c>
      <c r="H608" t="str">
        <f t="shared" si="19"/>
        <v>Customer Support</v>
      </c>
    </row>
    <row r="609" spans="1:8" x14ac:dyDescent="0.35">
      <c r="A609" s="2" t="s">
        <v>142</v>
      </c>
      <c r="B609" s="3">
        <v>46238</v>
      </c>
      <c r="C609" s="2" t="s">
        <v>246</v>
      </c>
      <c r="D609" s="2" t="s">
        <v>37</v>
      </c>
      <c r="E609" t="str">
        <f>IF(OR(A609="", B609=""), "Check missing data", IF(COUNTIFS($A$2:A609, A609, $B$2:B609, B609)&gt;1, "Possible Duplicate", "First Occurrence"))</f>
        <v>First Occurrence</v>
      </c>
      <c r="F609" t="str">
        <f t="shared" si="18"/>
        <v>Present</v>
      </c>
      <c r="H609" t="str">
        <f t="shared" si="19"/>
        <v>Customer Support</v>
      </c>
    </row>
    <row r="610" spans="1:8" x14ac:dyDescent="0.35">
      <c r="A610" s="2" t="s">
        <v>142</v>
      </c>
      <c r="B610" s="3">
        <v>46254</v>
      </c>
      <c r="C610" s="2" t="s">
        <v>246</v>
      </c>
      <c r="D610" s="2" t="s">
        <v>37</v>
      </c>
      <c r="E610" t="str">
        <f>IF(OR(A610="", B610=""), "Check missing data", IF(COUNTIFS($A$2:A610, A610, $B$2:B610, B610)&gt;1, "Possible Duplicate", "First Occurrence"))</f>
        <v>First Occurrence</v>
      </c>
      <c r="F610" t="str">
        <f t="shared" si="18"/>
        <v>Present</v>
      </c>
      <c r="H610" t="str">
        <f t="shared" si="19"/>
        <v>Customer Support</v>
      </c>
    </row>
    <row r="611" spans="1:8" x14ac:dyDescent="0.35">
      <c r="A611" s="2" t="s">
        <v>142</v>
      </c>
      <c r="B611" s="3">
        <v>46205</v>
      </c>
      <c r="C611" s="2" t="s">
        <v>245</v>
      </c>
      <c r="D611" s="2" t="s">
        <v>37</v>
      </c>
      <c r="E611" t="str">
        <f>IF(OR(A611="", B611=""), "Check missing data", IF(COUNTIFS($A$2:A611, A611, $B$2:B611, B611)&gt;1, "Possible Duplicate", "First Occurrence"))</f>
        <v>First Occurrence</v>
      </c>
      <c r="F611" t="str">
        <f t="shared" si="18"/>
        <v>Absent</v>
      </c>
      <c r="H611" t="str">
        <f t="shared" si="19"/>
        <v>Customer Support</v>
      </c>
    </row>
    <row r="612" spans="1:8" x14ac:dyDescent="0.35">
      <c r="A612" s="2" t="s">
        <v>142</v>
      </c>
      <c r="B612" s="3">
        <v>46212</v>
      </c>
      <c r="C612" s="2" t="s">
        <v>30</v>
      </c>
      <c r="D612" s="2" t="s">
        <v>37</v>
      </c>
      <c r="E612" t="str">
        <f>IF(OR(A612="", B612=""), "Check missing data", IF(COUNTIFS($A$2:A612, A612, $B$2:B612, B612)&gt;1, "Possible Duplicate", "First Occurrence"))</f>
        <v>First Occurrence</v>
      </c>
      <c r="F612" t="str">
        <f t="shared" si="18"/>
        <v>On Leave</v>
      </c>
      <c r="H612" t="str">
        <f t="shared" si="19"/>
        <v>Customer Support</v>
      </c>
    </row>
    <row r="613" spans="1:8" x14ac:dyDescent="0.35">
      <c r="A613" s="2" t="s">
        <v>142</v>
      </c>
      <c r="B613" s="3">
        <v>46231</v>
      </c>
      <c r="C613" s="2" t="s">
        <v>247</v>
      </c>
      <c r="D613" s="2" t="s">
        <v>37</v>
      </c>
      <c r="E613" t="str">
        <f>IF(OR(A613="", B613=""), "Check missing data", IF(COUNTIFS($A$2:A613, A613, $B$2:B613, B613)&gt;1, "Possible Duplicate", "First Occurrence"))</f>
        <v>First Occurrence</v>
      </c>
      <c r="F613" t="str">
        <f t="shared" si="18"/>
        <v>Late</v>
      </c>
      <c r="H613" t="str">
        <f t="shared" si="19"/>
        <v>Customer Support</v>
      </c>
    </row>
    <row r="614" spans="1:8" x14ac:dyDescent="0.35">
      <c r="A614" s="2" t="s">
        <v>144</v>
      </c>
      <c r="B614" s="3">
        <v>46239</v>
      </c>
      <c r="C614" s="2" t="s">
        <v>30</v>
      </c>
      <c r="D614" s="2" t="s">
        <v>41</v>
      </c>
      <c r="E614" t="str">
        <f>IF(OR(A614="", B614=""), "Check missing data", IF(COUNTIFS($A$2:A614, A614, $B$2:B614, B614)&gt;1, "Possible Duplicate", "First Occurrence"))</f>
        <v>First Occurrence</v>
      </c>
      <c r="F614" t="str">
        <f t="shared" si="18"/>
        <v>On Leave</v>
      </c>
      <c r="H614" t="str">
        <f t="shared" si="19"/>
        <v>Human Resources</v>
      </c>
    </row>
    <row r="615" spans="1:8" x14ac:dyDescent="0.35">
      <c r="A615" s="2" t="s">
        <v>144</v>
      </c>
      <c r="B615" s="3">
        <v>46261</v>
      </c>
      <c r="C615" s="2" t="s">
        <v>246</v>
      </c>
      <c r="D615" s="2" t="s">
        <v>41</v>
      </c>
      <c r="E615" t="str">
        <f>IF(OR(A615="", B615=""), "Check missing data", IF(COUNTIFS($A$2:A615, A615, $B$2:B615, B615)&gt;1, "Possible Duplicate", "First Occurrence"))</f>
        <v>First Occurrence</v>
      </c>
      <c r="F615" t="str">
        <f t="shared" si="18"/>
        <v>Present</v>
      </c>
      <c r="H615" t="str">
        <f t="shared" si="19"/>
        <v>Human Resources</v>
      </c>
    </row>
    <row r="616" spans="1:8" x14ac:dyDescent="0.35">
      <c r="A616" s="2" t="s">
        <v>144</v>
      </c>
      <c r="B616" s="3">
        <v>46272</v>
      </c>
      <c r="C616" s="2" t="s">
        <v>246</v>
      </c>
      <c r="D616" s="2" t="s">
        <v>41</v>
      </c>
      <c r="E616" t="str">
        <f>IF(OR(A616="", B616=""), "Check missing data", IF(COUNTIFS($A$2:A616, A616, $B$2:B616, B616)&gt;1, "Possible Duplicate", "First Occurrence"))</f>
        <v>First Occurrence</v>
      </c>
      <c r="F616" t="str">
        <f t="shared" si="18"/>
        <v>Present</v>
      </c>
      <c r="H616" t="str">
        <f t="shared" si="19"/>
        <v>Human Resources</v>
      </c>
    </row>
    <row r="617" spans="1:8" x14ac:dyDescent="0.35">
      <c r="A617" s="2" t="s">
        <v>144</v>
      </c>
      <c r="B617" s="3">
        <v>46252</v>
      </c>
      <c r="C617" s="2" t="s">
        <v>246</v>
      </c>
      <c r="D617" s="2" t="s">
        <v>41</v>
      </c>
      <c r="E617" t="str">
        <f>IF(OR(A617="", B617=""), "Check missing data", IF(COUNTIFS($A$2:A617, A617, $B$2:B617, B617)&gt;1, "Possible Duplicate", "First Occurrence"))</f>
        <v>First Occurrence</v>
      </c>
      <c r="F617" t="str">
        <f t="shared" si="18"/>
        <v>Present</v>
      </c>
      <c r="H617" t="str">
        <f t="shared" si="19"/>
        <v>Human Resources</v>
      </c>
    </row>
    <row r="618" spans="1:8" x14ac:dyDescent="0.35">
      <c r="A618" s="2" t="s">
        <v>144</v>
      </c>
      <c r="B618" s="3">
        <v>46265</v>
      </c>
      <c r="C618" s="2" t="s">
        <v>247</v>
      </c>
      <c r="D618" s="2" t="s">
        <v>41</v>
      </c>
      <c r="E618" t="str">
        <f>IF(OR(A618="", B618=""), "Check missing data", IF(COUNTIFS($A$2:A618, A618, $B$2:B618, B618)&gt;1, "Possible Duplicate", "First Occurrence"))</f>
        <v>First Occurrence</v>
      </c>
      <c r="F618" t="str">
        <f t="shared" si="18"/>
        <v>Late</v>
      </c>
      <c r="H618" t="str">
        <f t="shared" si="19"/>
        <v>Human Resources</v>
      </c>
    </row>
    <row r="619" spans="1:8" x14ac:dyDescent="0.35">
      <c r="A619" s="2" t="s">
        <v>144</v>
      </c>
      <c r="B619" s="3">
        <v>46246</v>
      </c>
      <c r="C619" s="2" t="s">
        <v>30</v>
      </c>
      <c r="D619" s="2" t="s">
        <v>41</v>
      </c>
      <c r="E619" t="str">
        <f>IF(OR(A619="", B619=""), "Check missing data", IF(COUNTIFS($A$2:A619, A619, $B$2:B619, B619)&gt;1, "Possible Duplicate", "First Occurrence"))</f>
        <v>First Occurrence</v>
      </c>
      <c r="F619" t="str">
        <f t="shared" si="18"/>
        <v>On Leave</v>
      </c>
      <c r="H619" t="str">
        <f t="shared" si="19"/>
        <v>Human Resources</v>
      </c>
    </row>
    <row r="620" spans="1:8" x14ac:dyDescent="0.35">
      <c r="A620" s="2" t="s">
        <v>144</v>
      </c>
      <c r="B620" s="3">
        <v>46294</v>
      </c>
      <c r="C620" s="2" t="s">
        <v>245</v>
      </c>
      <c r="D620" s="2" t="s">
        <v>41</v>
      </c>
      <c r="E620" t="str">
        <f>IF(OR(A620="", B620=""), "Check missing data", IF(COUNTIFS($A$2:A620, A620, $B$2:B620, B620)&gt;1, "Possible Duplicate", "First Occurrence"))</f>
        <v>First Occurrence</v>
      </c>
      <c r="F620" t="str">
        <f t="shared" si="18"/>
        <v>Absent</v>
      </c>
      <c r="H620" t="str">
        <f t="shared" si="19"/>
        <v>Human Resources</v>
      </c>
    </row>
    <row r="621" spans="1:8" x14ac:dyDescent="0.35">
      <c r="A621" s="2" t="s">
        <v>144</v>
      </c>
      <c r="B621" s="3">
        <v>46254</v>
      </c>
      <c r="C621" s="2" t="s">
        <v>246</v>
      </c>
      <c r="D621" s="2" t="s">
        <v>41</v>
      </c>
      <c r="E621" t="str">
        <f>IF(OR(A621="", B621=""), "Check missing data", IF(COUNTIFS($A$2:A621, A621, $B$2:B621, B621)&gt;1, "Possible Duplicate", "First Occurrence"))</f>
        <v>First Occurrence</v>
      </c>
      <c r="F621" t="str">
        <f t="shared" si="18"/>
        <v>Present</v>
      </c>
      <c r="H621" t="str">
        <f t="shared" si="19"/>
        <v>Human Resources</v>
      </c>
    </row>
    <row r="622" spans="1:8" x14ac:dyDescent="0.35">
      <c r="A622" s="2" t="s">
        <v>144</v>
      </c>
      <c r="B622" s="3">
        <v>46253</v>
      </c>
      <c r="C622" s="2" t="s">
        <v>246</v>
      </c>
      <c r="D622" s="2" t="s">
        <v>41</v>
      </c>
      <c r="E622" t="str">
        <f>IF(OR(A622="", B622=""), "Check missing data", IF(COUNTIFS($A$2:A622, A622, $B$2:B622, B622)&gt;1, "Possible Duplicate", "First Occurrence"))</f>
        <v>First Occurrence</v>
      </c>
      <c r="F622" t="str">
        <f t="shared" si="18"/>
        <v>Present</v>
      </c>
      <c r="H622" t="str">
        <f t="shared" si="19"/>
        <v>Human Resources</v>
      </c>
    </row>
    <row r="623" spans="1:8" x14ac:dyDescent="0.35">
      <c r="A623" s="2" t="s">
        <v>144</v>
      </c>
      <c r="B623" s="3">
        <v>46206</v>
      </c>
      <c r="C623" s="2" t="s">
        <v>30</v>
      </c>
      <c r="D623" s="2" t="s">
        <v>41</v>
      </c>
      <c r="E623" t="str">
        <f>IF(OR(A623="", B623=""), "Check missing data", IF(COUNTIFS($A$2:A623, A623, $B$2:B623, B623)&gt;1, "Possible Duplicate", "First Occurrence"))</f>
        <v>First Occurrence</v>
      </c>
      <c r="F623" t="str">
        <f t="shared" si="18"/>
        <v>On Leave</v>
      </c>
      <c r="H623" t="str">
        <f t="shared" si="19"/>
        <v>Human Resources</v>
      </c>
    </row>
    <row r="624" spans="1:8" x14ac:dyDescent="0.35">
      <c r="A624" s="2" t="s">
        <v>144</v>
      </c>
      <c r="B624" s="3">
        <v>46266</v>
      </c>
      <c r="C624" s="2" t="s">
        <v>245</v>
      </c>
      <c r="D624" s="2" t="s">
        <v>41</v>
      </c>
      <c r="E624" t="str">
        <f>IF(OR(A624="", B624=""), "Check missing data", IF(COUNTIFS($A$2:A624, A624, $B$2:B624, B624)&gt;1, "Possible Duplicate", "First Occurrence"))</f>
        <v>First Occurrence</v>
      </c>
      <c r="F624" t="str">
        <f t="shared" si="18"/>
        <v>Absent</v>
      </c>
      <c r="H624" t="str">
        <f t="shared" si="19"/>
        <v>Human Resources</v>
      </c>
    </row>
    <row r="625" spans="1:8" x14ac:dyDescent="0.35">
      <c r="A625" s="2" t="s">
        <v>144</v>
      </c>
      <c r="B625" s="3">
        <v>46259</v>
      </c>
      <c r="C625" s="2" t="s">
        <v>245</v>
      </c>
      <c r="D625" s="2" t="s">
        <v>41</v>
      </c>
      <c r="E625" t="str">
        <f>IF(OR(A625="", B625=""), "Check missing data", IF(COUNTIFS($A$2:A625, A625, $B$2:B625, B625)&gt;1, "Possible Duplicate", "First Occurrence"))</f>
        <v>First Occurrence</v>
      </c>
      <c r="F625" t="str">
        <f t="shared" si="18"/>
        <v>Absent</v>
      </c>
      <c r="H625" t="str">
        <f t="shared" si="19"/>
        <v>Human Resources</v>
      </c>
    </row>
    <row r="626" spans="1:8" x14ac:dyDescent="0.35">
      <c r="A626" s="2" t="s">
        <v>146</v>
      </c>
      <c r="B626" s="3">
        <v>46280</v>
      </c>
      <c r="C626" s="2" t="s">
        <v>245</v>
      </c>
      <c r="D626" s="2" t="s">
        <v>37</v>
      </c>
      <c r="E626" t="str">
        <f>IF(OR(A626="", B626=""), "Check missing data", IF(COUNTIFS($A$2:A626, A626, $B$2:B626, B626)&gt;1, "Possible Duplicate", "First Occurrence"))</f>
        <v>First Occurrence</v>
      </c>
      <c r="F626" t="str">
        <f t="shared" si="18"/>
        <v>Absent</v>
      </c>
      <c r="H626" t="str">
        <f t="shared" si="19"/>
        <v>Customer Support</v>
      </c>
    </row>
    <row r="627" spans="1:8" x14ac:dyDescent="0.35">
      <c r="A627" s="2" t="s">
        <v>146</v>
      </c>
      <c r="B627" s="3">
        <v>46231</v>
      </c>
      <c r="C627" s="2" t="s">
        <v>247</v>
      </c>
      <c r="D627" s="2" t="s">
        <v>37</v>
      </c>
      <c r="E627" t="str">
        <f>IF(OR(A627="", B627=""), "Check missing data", IF(COUNTIFS($A$2:A627, A627, $B$2:B627, B627)&gt;1, "Possible Duplicate", "First Occurrence"))</f>
        <v>First Occurrence</v>
      </c>
      <c r="F627" t="str">
        <f t="shared" si="18"/>
        <v>Late</v>
      </c>
      <c r="H627" t="str">
        <f t="shared" si="19"/>
        <v>Customer Support</v>
      </c>
    </row>
    <row r="628" spans="1:8" x14ac:dyDescent="0.35">
      <c r="A628" s="2" t="s">
        <v>146</v>
      </c>
      <c r="B628" s="3">
        <v>46237</v>
      </c>
      <c r="C628" s="2" t="s">
        <v>246</v>
      </c>
      <c r="D628" s="2" t="s">
        <v>37</v>
      </c>
      <c r="E628" t="str">
        <f>IF(OR(A628="", B628=""), "Check missing data", IF(COUNTIFS($A$2:A628, A628, $B$2:B628, B628)&gt;1, "Possible Duplicate", "First Occurrence"))</f>
        <v>First Occurrence</v>
      </c>
      <c r="F628" t="str">
        <f t="shared" si="18"/>
        <v>Present</v>
      </c>
      <c r="H628" t="str">
        <f t="shared" si="19"/>
        <v>Customer Support</v>
      </c>
    </row>
    <row r="629" spans="1:8" x14ac:dyDescent="0.35">
      <c r="A629" s="2" t="s">
        <v>146</v>
      </c>
      <c r="B629" s="3">
        <v>46219</v>
      </c>
      <c r="C629" s="2" t="s">
        <v>246</v>
      </c>
      <c r="D629" s="2" t="s">
        <v>37</v>
      </c>
      <c r="E629" t="str">
        <f>IF(OR(A629="", B629=""), "Check missing data", IF(COUNTIFS($A$2:A629, A629, $B$2:B629, B629)&gt;1, "Possible Duplicate", "First Occurrence"))</f>
        <v>First Occurrence</v>
      </c>
      <c r="F629" t="str">
        <f t="shared" si="18"/>
        <v>Present</v>
      </c>
      <c r="H629" t="str">
        <f t="shared" si="19"/>
        <v>Customer Support</v>
      </c>
    </row>
    <row r="630" spans="1:8" x14ac:dyDescent="0.35">
      <c r="A630" s="2" t="s">
        <v>146</v>
      </c>
      <c r="B630" s="3">
        <v>46210</v>
      </c>
      <c r="C630" s="2" t="s">
        <v>246</v>
      </c>
      <c r="D630" s="2" t="s">
        <v>37</v>
      </c>
      <c r="E630" t="str">
        <f>IF(OR(A630="", B630=""), "Check missing data", IF(COUNTIFS($A$2:A630, A630, $B$2:B630, B630)&gt;1, "Possible Duplicate", "First Occurrence"))</f>
        <v>First Occurrence</v>
      </c>
      <c r="F630" t="str">
        <f t="shared" si="18"/>
        <v>Present</v>
      </c>
      <c r="H630" t="str">
        <f t="shared" si="19"/>
        <v>Customer Support</v>
      </c>
    </row>
    <row r="631" spans="1:8" x14ac:dyDescent="0.35">
      <c r="A631" s="2" t="s">
        <v>146</v>
      </c>
      <c r="B631" s="3">
        <v>46213</v>
      </c>
      <c r="C631" s="2" t="s">
        <v>246</v>
      </c>
      <c r="D631" s="2" t="s">
        <v>37</v>
      </c>
      <c r="E631" t="str">
        <f>IF(OR(A631="", B631=""), "Check missing data", IF(COUNTIFS($A$2:A631, A631, $B$2:B631, B631)&gt;1, "Possible Duplicate", "First Occurrence"))</f>
        <v>First Occurrence</v>
      </c>
      <c r="F631" t="str">
        <f t="shared" si="18"/>
        <v>Present</v>
      </c>
      <c r="H631" t="str">
        <f t="shared" si="19"/>
        <v>Customer Support</v>
      </c>
    </row>
    <row r="632" spans="1:8" x14ac:dyDescent="0.35">
      <c r="A632" s="2" t="s">
        <v>146</v>
      </c>
      <c r="B632" s="3">
        <v>46258</v>
      </c>
      <c r="C632" s="2" t="s">
        <v>246</v>
      </c>
      <c r="D632" s="2" t="s">
        <v>37</v>
      </c>
      <c r="E632" t="str">
        <f>IF(OR(A632="", B632=""), "Check missing data", IF(COUNTIFS($A$2:A632, A632, $B$2:B632, B632)&gt;1, "Possible Duplicate", "First Occurrence"))</f>
        <v>First Occurrence</v>
      </c>
      <c r="F632" t="str">
        <f t="shared" si="18"/>
        <v>Present</v>
      </c>
      <c r="H632" t="str">
        <f t="shared" si="19"/>
        <v>Customer Support</v>
      </c>
    </row>
    <row r="633" spans="1:8" x14ac:dyDescent="0.35">
      <c r="A633" s="2" t="s">
        <v>146</v>
      </c>
      <c r="B633" s="3">
        <v>46288</v>
      </c>
      <c r="C633" s="2" t="s">
        <v>245</v>
      </c>
      <c r="D633" s="2" t="s">
        <v>37</v>
      </c>
      <c r="E633" t="str">
        <f>IF(OR(A633="", B633=""), "Check missing data", IF(COUNTIFS($A$2:A633, A633, $B$2:B633, B633)&gt;1, "Possible Duplicate", "First Occurrence"))</f>
        <v>First Occurrence</v>
      </c>
      <c r="F633" t="str">
        <f t="shared" si="18"/>
        <v>Absent</v>
      </c>
      <c r="H633" t="str">
        <f t="shared" si="19"/>
        <v>Customer Support</v>
      </c>
    </row>
    <row r="634" spans="1:8" x14ac:dyDescent="0.35">
      <c r="A634" s="2" t="s">
        <v>146</v>
      </c>
      <c r="B634" s="3">
        <v>46218</v>
      </c>
      <c r="C634" s="2" t="s">
        <v>246</v>
      </c>
      <c r="D634" s="2" t="s">
        <v>37</v>
      </c>
      <c r="E634" t="str">
        <f>IF(OR(A634="", B634=""), "Check missing data", IF(COUNTIFS($A$2:A634, A634, $B$2:B634, B634)&gt;1, "Possible Duplicate", "First Occurrence"))</f>
        <v>First Occurrence</v>
      </c>
      <c r="F634" t="str">
        <f t="shared" si="18"/>
        <v>Present</v>
      </c>
      <c r="H634" t="str">
        <f t="shared" si="19"/>
        <v>Customer Support</v>
      </c>
    </row>
    <row r="635" spans="1:8" x14ac:dyDescent="0.35">
      <c r="A635" s="2" t="s">
        <v>146</v>
      </c>
      <c r="B635" s="3">
        <v>46227</v>
      </c>
      <c r="C635" s="2" t="s">
        <v>246</v>
      </c>
      <c r="D635" s="2" t="s">
        <v>37</v>
      </c>
      <c r="E635" t="str">
        <f>IF(OR(A635="", B635=""), "Check missing data", IF(COUNTIFS($A$2:A635, A635, $B$2:B635, B635)&gt;1, "Possible Duplicate", "First Occurrence"))</f>
        <v>First Occurrence</v>
      </c>
      <c r="F635" t="str">
        <f t="shared" si="18"/>
        <v>Present</v>
      </c>
      <c r="H635" t="str">
        <f t="shared" si="19"/>
        <v>Customer Support</v>
      </c>
    </row>
    <row r="636" spans="1:8" x14ac:dyDescent="0.35">
      <c r="A636" s="2" t="s">
        <v>146</v>
      </c>
      <c r="B636" s="3">
        <v>46272</v>
      </c>
      <c r="C636" s="2" t="s">
        <v>246</v>
      </c>
      <c r="D636" s="2" t="s">
        <v>37</v>
      </c>
      <c r="E636" t="str">
        <f>IF(OR(A636="", B636=""), "Check missing data", IF(COUNTIFS($A$2:A636, A636, $B$2:B636, B636)&gt;1, "Possible Duplicate", "First Occurrence"))</f>
        <v>First Occurrence</v>
      </c>
      <c r="F636" t="str">
        <f t="shared" si="18"/>
        <v>Present</v>
      </c>
      <c r="H636" t="str">
        <f t="shared" si="19"/>
        <v>Customer Support</v>
      </c>
    </row>
    <row r="637" spans="1:8" x14ac:dyDescent="0.35">
      <c r="A637" s="2" t="s">
        <v>146</v>
      </c>
      <c r="B637" s="3">
        <v>46283</v>
      </c>
      <c r="C637" s="2" t="s">
        <v>246</v>
      </c>
      <c r="D637" s="2" t="s">
        <v>37</v>
      </c>
      <c r="E637" t="str">
        <f>IF(OR(A637="", B637=""), "Check missing data", IF(COUNTIFS($A$2:A637, A637, $B$2:B637, B637)&gt;1, "Possible Duplicate", "First Occurrence"))</f>
        <v>First Occurrence</v>
      </c>
      <c r="F637" t="str">
        <f t="shared" si="18"/>
        <v>Present</v>
      </c>
      <c r="H637" t="str">
        <f t="shared" si="19"/>
        <v>Customer Support</v>
      </c>
    </row>
    <row r="638" spans="1:8" x14ac:dyDescent="0.35">
      <c r="A638" s="2" t="s">
        <v>148</v>
      </c>
      <c r="B638" s="3">
        <v>46209</v>
      </c>
      <c r="C638" s="2" t="s">
        <v>245</v>
      </c>
      <c r="D638" s="2" t="s">
        <v>41</v>
      </c>
      <c r="E638" t="str">
        <f>IF(OR(A638="", B638=""), "Check missing data", IF(COUNTIFS($A$2:A638, A638, $B$2:B638, B638)&gt;1, "Possible Duplicate", "First Occurrence"))</f>
        <v>First Occurrence</v>
      </c>
      <c r="F638" t="str">
        <f t="shared" si="18"/>
        <v>Absent</v>
      </c>
      <c r="H638" t="str">
        <f t="shared" si="19"/>
        <v>Human Resources</v>
      </c>
    </row>
    <row r="639" spans="1:8" x14ac:dyDescent="0.35">
      <c r="A639" s="2" t="s">
        <v>148</v>
      </c>
      <c r="B639" s="3">
        <v>46244</v>
      </c>
      <c r="C639" s="2" t="s">
        <v>30</v>
      </c>
      <c r="D639" s="2" t="s">
        <v>41</v>
      </c>
      <c r="E639" t="str">
        <f>IF(OR(A639="", B639=""), "Check missing data", IF(COUNTIFS($A$2:A639, A639, $B$2:B639, B639)&gt;1, "Possible Duplicate", "First Occurrence"))</f>
        <v>First Occurrence</v>
      </c>
      <c r="F639" t="str">
        <f t="shared" si="18"/>
        <v>On Leave</v>
      </c>
      <c r="H639" t="str">
        <f t="shared" si="19"/>
        <v>Human Resources</v>
      </c>
    </row>
    <row r="640" spans="1:8" x14ac:dyDescent="0.35">
      <c r="A640" s="2" t="s">
        <v>148</v>
      </c>
      <c r="B640" s="3">
        <v>46238</v>
      </c>
      <c r="C640" s="2" t="s">
        <v>246</v>
      </c>
      <c r="D640" s="2" t="s">
        <v>41</v>
      </c>
      <c r="E640" t="str">
        <f>IF(OR(A640="", B640=""), "Check missing data", IF(COUNTIFS($A$2:A640, A640, $B$2:B640, B640)&gt;1, "Possible Duplicate", "First Occurrence"))</f>
        <v>First Occurrence</v>
      </c>
      <c r="F640" t="str">
        <f t="shared" si="18"/>
        <v>Present</v>
      </c>
      <c r="H640" t="str">
        <f t="shared" si="19"/>
        <v>Human Resources</v>
      </c>
    </row>
    <row r="641" spans="1:8" x14ac:dyDescent="0.35">
      <c r="A641" s="2" t="s">
        <v>148</v>
      </c>
      <c r="B641" s="3">
        <v>46252</v>
      </c>
      <c r="C641" s="2" t="s">
        <v>245</v>
      </c>
      <c r="D641" s="2" t="s">
        <v>41</v>
      </c>
      <c r="E641" t="str">
        <f>IF(OR(A641="", B641=""), "Check missing data", IF(COUNTIFS($A$2:A641, A641, $B$2:B641, B641)&gt;1, "Possible Duplicate", "First Occurrence"))</f>
        <v>First Occurrence</v>
      </c>
      <c r="F641" t="str">
        <f t="shared" si="18"/>
        <v>Absent</v>
      </c>
      <c r="H641" t="str">
        <f t="shared" si="19"/>
        <v>Human Resources</v>
      </c>
    </row>
    <row r="642" spans="1:8" x14ac:dyDescent="0.35">
      <c r="A642" s="2" t="s">
        <v>148</v>
      </c>
      <c r="B642" s="3">
        <v>46255</v>
      </c>
      <c r="C642" s="2" t="s">
        <v>246</v>
      </c>
      <c r="D642" s="2" t="s">
        <v>41</v>
      </c>
      <c r="E642" t="str">
        <f>IF(OR(A642="", B642=""), "Check missing data", IF(COUNTIFS($A$2:A642, A642, $B$2:B642, B642)&gt;1, "Possible Duplicate", "First Occurrence"))</f>
        <v>First Occurrence</v>
      </c>
      <c r="F642" t="str">
        <f t="shared" si="18"/>
        <v>Present</v>
      </c>
      <c r="H642" t="str">
        <f t="shared" si="19"/>
        <v>Human Resources</v>
      </c>
    </row>
    <row r="643" spans="1:8" x14ac:dyDescent="0.35">
      <c r="A643" s="2" t="s">
        <v>148</v>
      </c>
      <c r="B643" s="3">
        <v>46279</v>
      </c>
      <c r="C643" s="2" t="s">
        <v>245</v>
      </c>
      <c r="D643" s="2" t="s">
        <v>41</v>
      </c>
      <c r="E643" t="str">
        <f>IF(OR(A643="", B643=""), "Check missing data", IF(COUNTIFS($A$2:A643, A643, $B$2:B643, B643)&gt;1, "Possible Duplicate", "First Occurrence"))</f>
        <v>First Occurrence</v>
      </c>
      <c r="F643" t="str">
        <f t="shared" ref="F643:F706" si="20">PROPER(TRIM(C643))</f>
        <v>Absent</v>
      </c>
      <c r="H643" t="str">
        <f t="shared" ref="H643:H706" si="21">TRIM(CLEAN(D643))</f>
        <v>Human Resources</v>
      </c>
    </row>
    <row r="644" spans="1:8" x14ac:dyDescent="0.35">
      <c r="A644" s="2" t="s">
        <v>148</v>
      </c>
      <c r="B644" s="3">
        <v>46224</v>
      </c>
      <c r="C644" s="2" t="s">
        <v>246</v>
      </c>
      <c r="D644" s="2" t="s">
        <v>41</v>
      </c>
      <c r="E644" t="str">
        <f>IF(OR(A644="", B644=""), "Check missing data", IF(COUNTIFS($A$2:A644, A644, $B$2:B644, B644)&gt;1, "Possible Duplicate", "First Occurrence"))</f>
        <v>First Occurrence</v>
      </c>
      <c r="F644" t="str">
        <f t="shared" si="20"/>
        <v>Present</v>
      </c>
      <c r="H644" t="str">
        <f t="shared" si="21"/>
        <v>Human Resources</v>
      </c>
    </row>
    <row r="645" spans="1:8" x14ac:dyDescent="0.35">
      <c r="A645" s="2" t="s">
        <v>148</v>
      </c>
      <c r="B645" s="3">
        <v>46287</v>
      </c>
      <c r="C645" s="2" t="s">
        <v>247</v>
      </c>
      <c r="D645" s="2" t="s">
        <v>41</v>
      </c>
      <c r="E645" t="str">
        <f>IF(OR(A645="", B645=""), "Check missing data", IF(COUNTIFS($A$2:A645, A645, $B$2:B645, B645)&gt;1, "Possible Duplicate", "First Occurrence"))</f>
        <v>First Occurrence</v>
      </c>
      <c r="F645" t="str">
        <f t="shared" si="20"/>
        <v>Late</v>
      </c>
      <c r="H645" t="str">
        <f t="shared" si="21"/>
        <v>Human Resources</v>
      </c>
    </row>
    <row r="646" spans="1:8" x14ac:dyDescent="0.35">
      <c r="A646" s="2" t="s">
        <v>148</v>
      </c>
      <c r="B646" s="3">
        <v>46239</v>
      </c>
      <c r="C646" s="2" t="s">
        <v>245</v>
      </c>
      <c r="D646" s="2" t="s">
        <v>41</v>
      </c>
      <c r="E646" t="str">
        <f>IF(OR(A646="", B646=""), "Check missing data", IF(COUNTIFS($A$2:A646, A646, $B$2:B646, B646)&gt;1, "Possible Duplicate", "First Occurrence"))</f>
        <v>First Occurrence</v>
      </c>
      <c r="F646" t="str">
        <f t="shared" si="20"/>
        <v>Absent</v>
      </c>
      <c r="H646" t="str">
        <f t="shared" si="21"/>
        <v>Human Resources</v>
      </c>
    </row>
    <row r="647" spans="1:8" x14ac:dyDescent="0.35">
      <c r="A647" s="2" t="s">
        <v>148</v>
      </c>
      <c r="B647" s="3">
        <v>46205</v>
      </c>
      <c r="C647" s="2" t="s">
        <v>246</v>
      </c>
      <c r="D647" s="2" t="s">
        <v>41</v>
      </c>
      <c r="E647" t="str">
        <f>IF(OR(A647="", B647=""), "Check missing data", IF(COUNTIFS($A$2:A647, A647, $B$2:B647, B647)&gt;1, "Possible Duplicate", "First Occurrence"))</f>
        <v>First Occurrence</v>
      </c>
      <c r="F647" t="str">
        <f t="shared" si="20"/>
        <v>Present</v>
      </c>
      <c r="H647" t="str">
        <f t="shared" si="21"/>
        <v>Human Resources</v>
      </c>
    </row>
    <row r="648" spans="1:8" x14ac:dyDescent="0.35">
      <c r="A648" s="2" t="s">
        <v>148</v>
      </c>
      <c r="B648" s="3">
        <v>46232</v>
      </c>
      <c r="C648" s="2" t="s">
        <v>246</v>
      </c>
      <c r="D648" s="2" t="s">
        <v>41</v>
      </c>
      <c r="E648" t="str">
        <f>IF(OR(A648="", B648=""), "Check missing data", IF(COUNTIFS($A$2:A648, A648, $B$2:B648, B648)&gt;1, "Possible Duplicate", "First Occurrence"))</f>
        <v>First Occurrence</v>
      </c>
      <c r="F648" t="str">
        <f t="shared" si="20"/>
        <v>Present</v>
      </c>
      <c r="H648" t="str">
        <f t="shared" si="21"/>
        <v>Human Resources</v>
      </c>
    </row>
    <row r="649" spans="1:8" x14ac:dyDescent="0.35">
      <c r="A649" s="2" t="s">
        <v>148</v>
      </c>
      <c r="B649" s="3">
        <v>46274</v>
      </c>
      <c r="C649" s="2" t="s">
        <v>30</v>
      </c>
      <c r="D649" s="2" t="s">
        <v>41</v>
      </c>
      <c r="E649" t="str">
        <f>IF(OR(A649="", B649=""), "Check missing data", IF(COUNTIFS($A$2:A649, A649, $B$2:B649, B649)&gt;1, "Possible Duplicate", "First Occurrence"))</f>
        <v>First Occurrence</v>
      </c>
      <c r="F649" t="str">
        <f t="shared" si="20"/>
        <v>On Leave</v>
      </c>
      <c r="H649" t="str">
        <f t="shared" si="21"/>
        <v>Human Resources</v>
      </c>
    </row>
    <row r="650" spans="1:8" x14ac:dyDescent="0.35">
      <c r="A650" s="2" t="s">
        <v>151</v>
      </c>
      <c r="B650" s="3">
        <v>46254</v>
      </c>
      <c r="C650" s="2" t="s">
        <v>30</v>
      </c>
      <c r="D650" s="2" t="s">
        <v>37</v>
      </c>
      <c r="E650" t="str">
        <f>IF(OR(A650="", B650=""), "Check missing data", IF(COUNTIFS($A$2:A650, A650, $B$2:B650, B650)&gt;1, "Possible Duplicate", "First Occurrence"))</f>
        <v>First Occurrence</v>
      </c>
      <c r="F650" t="str">
        <f t="shared" si="20"/>
        <v>On Leave</v>
      </c>
      <c r="H650" t="str">
        <f t="shared" si="21"/>
        <v>Customer Support</v>
      </c>
    </row>
    <row r="651" spans="1:8" x14ac:dyDescent="0.35">
      <c r="A651" s="2" t="s">
        <v>151</v>
      </c>
      <c r="B651" s="3">
        <v>46295</v>
      </c>
      <c r="C651" s="2" t="s">
        <v>247</v>
      </c>
      <c r="D651" s="2" t="s">
        <v>37</v>
      </c>
      <c r="E651" t="str">
        <f>IF(OR(A651="", B651=""), "Check missing data", IF(COUNTIFS($A$2:A651, A651, $B$2:B651, B651)&gt;1, "Possible Duplicate", "First Occurrence"))</f>
        <v>First Occurrence</v>
      </c>
      <c r="F651" t="str">
        <f t="shared" si="20"/>
        <v>Late</v>
      </c>
      <c r="H651" t="str">
        <f t="shared" si="21"/>
        <v>Customer Support</v>
      </c>
    </row>
    <row r="652" spans="1:8" x14ac:dyDescent="0.35">
      <c r="A652" s="2" t="s">
        <v>151</v>
      </c>
      <c r="B652" s="3">
        <v>46205</v>
      </c>
      <c r="C652" s="2" t="s">
        <v>246</v>
      </c>
      <c r="D652" s="2" t="s">
        <v>37</v>
      </c>
      <c r="E652" t="str">
        <f>IF(OR(A652="", B652=""), "Check missing data", IF(COUNTIFS($A$2:A652, A652, $B$2:B652, B652)&gt;1, "Possible Duplicate", "First Occurrence"))</f>
        <v>First Occurrence</v>
      </c>
      <c r="F652" t="str">
        <f t="shared" si="20"/>
        <v>Present</v>
      </c>
      <c r="H652" t="str">
        <f t="shared" si="21"/>
        <v>Customer Support</v>
      </c>
    </row>
    <row r="653" spans="1:8" x14ac:dyDescent="0.35">
      <c r="A653" s="2" t="s">
        <v>151</v>
      </c>
      <c r="B653" s="3">
        <v>46213</v>
      </c>
      <c r="C653" s="2" t="s">
        <v>246</v>
      </c>
      <c r="D653" s="2" t="s">
        <v>37</v>
      </c>
      <c r="E653" t="str">
        <f>IF(OR(A653="", B653=""), "Check missing data", IF(COUNTIFS($A$2:A653, A653, $B$2:B653, B653)&gt;1, "Possible Duplicate", "First Occurrence"))</f>
        <v>First Occurrence</v>
      </c>
      <c r="F653" t="str">
        <f t="shared" si="20"/>
        <v>Present</v>
      </c>
      <c r="H653" t="str">
        <f t="shared" si="21"/>
        <v>Customer Support</v>
      </c>
    </row>
    <row r="654" spans="1:8" x14ac:dyDescent="0.35">
      <c r="A654" s="2" t="s">
        <v>151</v>
      </c>
      <c r="B654" s="3">
        <v>46288</v>
      </c>
      <c r="C654" s="2" t="s">
        <v>245</v>
      </c>
      <c r="D654" s="2" t="s">
        <v>37</v>
      </c>
      <c r="E654" t="str">
        <f>IF(OR(A654="", B654=""), "Check missing data", IF(COUNTIFS($A$2:A654, A654, $B$2:B654, B654)&gt;1, "Possible Duplicate", "First Occurrence"))</f>
        <v>First Occurrence</v>
      </c>
      <c r="F654" t="str">
        <f t="shared" si="20"/>
        <v>Absent</v>
      </c>
      <c r="H654" t="str">
        <f t="shared" si="21"/>
        <v>Customer Support</v>
      </c>
    </row>
    <row r="655" spans="1:8" x14ac:dyDescent="0.35">
      <c r="A655" s="2" t="s">
        <v>151</v>
      </c>
      <c r="B655" s="3">
        <v>46227</v>
      </c>
      <c r="C655" s="2" t="s">
        <v>246</v>
      </c>
      <c r="D655" s="2" t="s">
        <v>37</v>
      </c>
      <c r="E655" t="str">
        <f>IF(OR(A655="", B655=""), "Check missing data", IF(COUNTIFS($A$2:A655, A655, $B$2:B655, B655)&gt;1, "Possible Duplicate", "First Occurrence"))</f>
        <v>First Occurrence</v>
      </c>
      <c r="F655" t="str">
        <f t="shared" si="20"/>
        <v>Present</v>
      </c>
      <c r="H655" t="str">
        <f t="shared" si="21"/>
        <v>Customer Support</v>
      </c>
    </row>
    <row r="656" spans="1:8" x14ac:dyDescent="0.35">
      <c r="A656" s="2" t="s">
        <v>151</v>
      </c>
      <c r="B656" s="3">
        <v>46258</v>
      </c>
      <c r="C656" s="2" t="s">
        <v>30</v>
      </c>
      <c r="D656" s="2" t="s">
        <v>37</v>
      </c>
      <c r="E656" t="str">
        <f>IF(OR(A656="", B656=""), "Check missing data", IF(COUNTIFS($A$2:A656, A656, $B$2:B656, B656)&gt;1, "Possible Duplicate", "First Occurrence"))</f>
        <v>First Occurrence</v>
      </c>
      <c r="F656" t="str">
        <f t="shared" si="20"/>
        <v>On Leave</v>
      </c>
      <c r="H656" t="str">
        <f t="shared" si="21"/>
        <v>Customer Support</v>
      </c>
    </row>
    <row r="657" spans="1:8" x14ac:dyDescent="0.35">
      <c r="A657" s="2" t="s">
        <v>151</v>
      </c>
      <c r="B657" s="3">
        <v>46211</v>
      </c>
      <c r="C657" s="2" t="s">
        <v>246</v>
      </c>
      <c r="D657" s="2" t="s">
        <v>37</v>
      </c>
      <c r="E657" t="str">
        <f>IF(OR(A657="", B657=""), "Check missing data", IF(COUNTIFS($A$2:A657, A657, $B$2:B657, B657)&gt;1, "Possible Duplicate", "First Occurrence"))</f>
        <v>First Occurrence</v>
      </c>
      <c r="F657" t="str">
        <f t="shared" si="20"/>
        <v>Present</v>
      </c>
      <c r="H657" t="str">
        <f t="shared" si="21"/>
        <v>Customer Support</v>
      </c>
    </row>
    <row r="658" spans="1:8" x14ac:dyDescent="0.35">
      <c r="A658" s="2" t="s">
        <v>151</v>
      </c>
      <c r="B658" s="3">
        <v>46216</v>
      </c>
      <c r="C658" s="2" t="s">
        <v>30</v>
      </c>
      <c r="D658" s="2" t="s">
        <v>37</v>
      </c>
      <c r="E658" t="str">
        <f>IF(OR(A658="", B658=""), "Check missing data", IF(COUNTIFS($A$2:A658, A658, $B$2:B658, B658)&gt;1, "Possible Duplicate", "First Occurrence"))</f>
        <v>First Occurrence</v>
      </c>
      <c r="F658" t="str">
        <f t="shared" si="20"/>
        <v>On Leave</v>
      </c>
      <c r="H658" t="str">
        <f t="shared" si="21"/>
        <v>Customer Support</v>
      </c>
    </row>
    <row r="659" spans="1:8" x14ac:dyDescent="0.35">
      <c r="A659" s="2" t="s">
        <v>151</v>
      </c>
      <c r="B659" s="3">
        <v>46239</v>
      </c>
      <c r="C659" s="2" t="s">
        <v>246</v>
      </c>
      <c r="D659" s="2" t="s">
        <v>37</v>
      </c>
      <c r="E659" t="str">
        <f>IF(OR(A659="", B659=""), "Check missing data", IF(COUNTIFS($A$2:A659, A659, $B$2:B659, B659)&gt;1, "Possible Duplicate", "First Occurrence"))</f>
        <v>First Occurrence</v>
      </c>
      <c r="F659" t="str">
        <f t="shared" si="20"/>
        <v>Present</v>
      </c>
      <c r="H659" t="str">
        <f t="shared" si="21"/>
        <v>Customer Support</v>
      </c>
    </row>
    <row r="660" spans="1:8" x14ac:dyDescent="0.35">
      <c r="A660" s="2" t="s">
        <v>151</v>
      </c>
      <c r="B660" s="3">
        <v>46246</v>
      </c>
      <c r="C660" s="2" t="s">
        <v>247</v>
      </c>
      <c r="D660" s="2" t="s">
        <v>37</v>
      </c>
      <c r="E660" t="str">
        <f>IF(OR(A660="", B660=""), "Check missing data", IF(COUNTIFS($A$2:A660, A660, $B$2:B660, B660)&gt;1, "Possible Duplicate", "First Occurrence"))</f>
        <v>First Occurrence</v>
      </c>
      <c r="F660" t="str">
        <f t="shared" si="20"/>
        <v>Late</v>
      </c>
      <c r="H660" t="str">
        <f t="shared" si="21"/>
        <v>Customer Support</v>
      </c>
    </row>
    <row r="661" spans="1:8" x14ac:dyDescent="0.35">
      <c r="A661" s="2" t="s">
        <v>151</v>
      </c>
      <c r="B661" s="3">
        <v>46225</v>
      </c>
      <c r="C661" s="2" t="s">
        <v>247</v>
      </c>
      <c r="D661" s="2" t="s">
        <v>37</v>
      </c>
      <c r="E661" t="str">
        <f>IF(OR(A661="", B661=""), "Check missing data", IF(COUNTIFS($A$2:A661, A661, $B$2:B661, B661)&gt;1, "Possible Duplicate", "First Occurrence"))</f>
        <v>First Occurrence</v>
      </c>
      <c r="F661" t="str">
        <f t="shared" si="20"/>
        <v>Late</v>
      </c>
      <c r="H661" t="str">
        <f t="shared" si="21"/>
        <v>Customer Support</v>
      </c>
    </row>
    <row r="662" spans="1:8" x14ac:dyDescent="0.35">
      <c r="A662" s="2" t="s">
        <v>153</v>
      </c>
      <c r="B662" s="3">
        <v>46273</v>
      </c>
      <c r="C662" s="2" t="s">
        <v>246</v>
      </c>
      <c r="D662" s="2" t="s">
        <v>11</v>
      </c>
      <c r="E662" t="str">
        <f>IF(OR(A662="", B662=""), "Check missing data", IF(COUNTIFS($A$2:A662, A662, $B$2:B662, B662)&gt;1, "Possible Duplicate", "First Occurrence"))</f>
        <v>First Occurrence</v>
      </c>
      <c r="F662" t="str">
        <f t="shared" si="20"/>
        <v>Present</v>
      </c>
      <c r="H662" t="str">
        <f t="shared" si="21"/>
        <v>Operations</v>
      </c>
    </row>
    <row r="663" spans="1:8" x14ac:dyDescent="0.35">
      <c r="A663" s="2" t="s">
        <v>153</v>
      </c>
      <c r="B663" s="3">
        <v>46239</v>
      </c>
      <c r="C663" s="2" t="s">
        <v>246</v>
      </c>
      <c r="D663" s="2" t="s">
        <v>11</v>
      </c>
      <c r="E663" t="str">
        <f>IF(OR(A663="", B663=""), "Check missing data", IF(COUNTIFS($A$2:A663, A663, $B$2:B663, B663)&gt;1, "Possible Duplicate", "First Occurrence"))</f>
        <v>First Occurrence</v>
      </c>
      <c r="F663" t="str">
        <f t="shared" si="20"/>
        <v>Present</v>
      </c>
      <c r="H663" t="str">
        <f t="shared" si="21"/>
        <v>Operations</v>
      </c>
    </row>
    <row r="664" spans="1:8" x14ac:dyDescent="0.35">
      <c r="A664" s="2" t="s">
        <v>153</v>
      </c>
      <c r="B664" s="3">
        <v>46209</v>
      </c>
      <c r="C664" s="2" t="s">
        <v>247</v>
      </c>
      <c r="D664" s="2" t="s">
        <v>11</v>
      </c>
      <c r="E664" t="str">
        <f>IF(OR(A664="", B664=""), "Check missing data", IF(COUNTIFS($A$2:A664, A664, $B$2:B664, B664)&gt;1, "Possible Duplicate", "First Occurrence"))</f>
        <v>First Occurrence</v>
      </c>
      <c r="F664" t="str">
        <f t="shared" si="20"/>
        <v>Late</v>
      </c>
      <c r="H664" t="str">
        <f t="shared" si="21"/>
        <v>Operations</v>
      </c>
    </row>
    <row r="665" spans="1:8" x14ac:dyDescent="0.35">
      <c r="A665" s="2" t="s">
        <v>153</v>
      </c>
      <c r="B665" s="3">
        <v>46225</v>
      </c>
      <c r="C665" s="2" t="s">
        <v>247</v>
      </c>
      <c r="D665" s="2" t="s">
        <v>11</v>
      </c>
      <c r="E665" t="str">
        <f>IF(OR(A665="", B665=""), "Check missing data", IF(COUNTIFS($A$2:A665, A665, $B$2:B665, B665)&gt;1, "Possible Duplicate", "First Occurrence"))</f>
        <v>First Occurrence</v>
      </c>
      <c r="F665" t="str">
        <f t="shared" si="20"/>
        <v>Late</v>
      </c>
      <c r="H665" t="str">
        <f t="shared" si="21"/>
        <v>Operations</v>
      </c>
    </row>
    <row r="666" spans="1:8" x14ac:dyDescent="0.35">
      <c r="A666" s="2" t="s">
        <v>153</v>
      </c>
      <c r="B666" s="3">
        <v>46238</v>
      </c>
      <c r="C666" s="2" t="s">
        <v>246</v>
      </c>
      <c r="D666" s="2" t="s">
        <v>11</v>
      </c>
      <c r="E666" t="str">
        <f>IF(OR(A666="", B666=""), "Check missing data", IF(COUNTIFS($A$2:A666, A666, $B$2:B666, B666)&gt;1, "Possible Duplicate", "First Occurrence"))</f>
        <v>First Occurrence</v>
      </c>
      <c r="F666" t="str">
        <f t="shared" si="20"/>
        <v>Present</v>
      </c>
      <c r="H666" t="str">
        <f t="shared" si="21"/>
        <v>Operations</v>
      </c>
    </row>
    <row r="667" spans="1:8" x14ac:dyDescent="0.35">
      <c r="A667" s="2" t="s">
        <v>153</v>
      </c>
      <c r="B667" s="3">
        <v>46212</v>
      </c>
      <c r="C667" s="2" t="s">
        <v>246</v>
      </c>
      <c r="D667" s="2" t="s">
        <v>11</v>
      </c>
      <c r="E667" t="str">
        <f>IF(OR(A667="", B667=""), "Check missing data", IF(COUNTIFS($A$2:A667, A667, $B$2:B667, B667)&gt;1, "Possible Duplicate", "First Occurrence"))</f>
        <v>First Occurrence</v>
      </c>
      <c r="F667" t="str">
        <f t="shared" si="20"/>
        <v>Present</v>
      </c>
      <c r="H667" t="str">
        <f t="shared" si="21"/>
        <v>Operations</v>
      </c>
    </row>
    <row r="668" spans="1:8" x14ac:dyDescent="0.35">
      <c r="A668" s="2" t="s">
        <v>153</v>
      </c>
      <c r="B668" s="3">
        <v>46210</v>
      </c>
      <c r="C668" s="2" t="s">
        <v>246</v>
      </c>
      <c r="D668" s="2" t="s">
        <v>11</v>
      </c>
      <c r="E668" t="str">
        <f>IF(OR(A668="", B668=""), "Check missing data", IF(COUNTIFS($A$2:A668, A668, $B$2:B668, B668)&gt;1, "Possible Duplicate", "First Occurrence"))</f>
        <v>First Occurrence</v>
      </c>
      <c r="F668" t="str">
        <f t="shared" si="20"/>
        <v>Present</v>
      </c>
      <c r="H668" t="str">
        <f t="shared" si="21"/>
        <v>Operations</v>
      </c>
    </row>
    <row r="669" spans="1:8" x14ac:dyDescent="0.35">
      <c r="A669" s="2" t="s">
        <v>153</v>
      </c>
      <c r="B669" s="3">
        <v>46219</v>
      </c>
      <c r="C669" s="2" t="s">
        <v>246</v>
      </c>
      <c r="D669" s="2" t="s">
        <v>11</v>
      </c>
      <c r="E669" t="str">
        <f>IF(OR(A669="", B669=""), "Check missing data", IF(COUNTIFS($A$2:A669, A669, $B$2:B669, B669)&gt;1, "Possible Duplicate", "First Occurrence"))</f>
        <v>First Occurrence</v>
      </c>
      <c r="F669" t="str">
        <f t="shared" si="20"/>
        <v>Present</v>
      </c>
      <c r="H669" t="str">
        <f t="shared" si="21"/>
        <v>Operations</v>
      </c>
    </row>
    <row r="670" spans="1:8" x14ac:dyDescent="0.35">
      <c r="A670" s="2" t="s">
        <v>153</v>
      </c>
      <c r="B670" s="3">
        <v>46286</v>
      </c>
      <c r="C670" s="2" t="s">
        <v>246</v>
      </c>
      <c r="D670" s="2" t="s">
        <v>11</v>
      </c>
      <c r="E670" t="str">
        <f>IF(OR(A670="", B670=""), "Check missing data", IF(COUNTIFS($A$2:A670, A670, $B$2:B670, B670)&gt;1, "Possible Duplicate", "First Occurrence"))</f>
        <v>First Occurrence</v>
      </c>
      <c r="F670" t="str">
        <f t="shared" si="20"/>
        <v>Present</v>
      </c>
      <c r="H670" t="str">
        <f t="shared" si="21"/>
        <v>Operations</v>
      </c>
    </row>
    <row r="671" spans="1:8" x14ac:dyDescent="0.35">
      <c r="A671" s="2" t="s">
        <v>153</v>
      </c>
      <c r="B671" s="3">
        <v>46290</v>
      </c>
      <c r="C671" s="2" t="s">
        <v>247</v>
      </c>
      <c r="D671" s="2" t="s">
        <v>11</v>
      </c>
      <c r="E671" t="str">
        <f>IF(OR(A671="", B671=""), "Check missing data", IF(COUNTIFS($A$2:A671, A671, $B$2:B671, B671)&gt;1, "Possible Duplicate", "First Occurrence"))</f>
        <v>First Occurrence</v>
      </c>
      <c r="F671" t="str">
        <f t="shared" si="20"/>
        <v>Late</v>
      </c>
      <c r="H671" t="str">
        <f t="shared" si="21"/>
        <v>Operations</v>
      </c>
    </row>
    <row r="672" spans="1:8" x14ac:dyDescent="0.35">
      <c r="A672" s="2" t="s">
        <v>153</v>
      </c>
      <c r="B672" s="3">
        <v>46231</v>
      </c>
      <c r="C672" s="2" t="s">
        <v>246</v>
      </c>
      <c r="D672" s="2" t="s">
        <v>11</v>
      </c>
      <c r="E672" t="str">
        <f>IF(OR(A672="", B672=""), "Check missing data", IF(COUNTIFS($A$2:A672, A672, $B$2:B672, B672)&gt;1, "Possible Duplicate", "First Occurrence"))</f>
        <v>First Occurrence</v>
      </c>
      <c r="F672" t="str">
        <f t="shared" si="20"/>
        <v>Present</v>
      </c>
      <c r="H672" t="str">
        <f t="shared" si="21"/>
        <v>Operations</v>
      </c>
    </row>
    <row r="673" spans="1:8" x14ac:dyDescent="0.35">
      <c r="A673" s="2" t="s">
        <v>153</v>
      </c>
      <c r="B673" s="3">
        <v>46255</v>
      </c>
      <c r="C673" s="2" t="s">
        <v>246</v>
      </c>
      <c r="D673" s="2" t="s">
        <v>11</v>
      </c>
      <c r="E673" t="str">
        <f>IF(OR(A673="", B673=""), "Check missing data", IF(COUNTIFS($A$2:A673, A673, $B$2:B673, B673)&gt;1, "Possible Duplicate", "First Occurrence"))</f>
        <v>First Occurrence</v>
      </c>
      <c r="F673" t="str">
        <f t="shared" si="20"/>
        <v>Present</v>
      </c>
      <c r="H673" t="str">
        <f t="shared" si="21"/>
        <v>Operations</v>
      </c>
    </row>
    <row r="674" spans="1:8" x14ac:dyDescent="0.35">
      <c r="A674" s="2" t="s">
        <v>155</v>
      </c>
      <c r="B674" s="3">
        <v>46272</v>
      </c>
      <c r="C674" s="2" t="s">
        <v>246</v>
      </c>
      <c r="D674" s="2" t="s">
        <v>33</v>
      </c>
      <c r="E674" t="str">
        <f>IF(OR(A674="", B674=""), "Check missing data", IF(COUNTIFS($A$2:A674, A674, $B$2:B674, B674)&gt;1, "Possible Duplicate", "First Occurrence"))</f>
        <v>First Occurrence</v>
      </c>
      <c r="F674" t="str">
        <f t="shared" si="20"/>
        <v>Present</v>
      </c>
      <c r="H674" t="str">
        <f t="shared" si="21"/>
        <v>Sales</v>
      </c>
    </row>
    <row r="675" spans="1:8" x14ac:dyDescent="0.35">
      <c r="A675" s="2" t="s">
        <v>155</v>
      </c>
      <c r="B675" s="3">
        <v>46251</v>
      </c>
      <c r="C675" s="2" t="s">
        <v>245</v>
      </c>
      <c r="D675" s="2" t="s">
        <v>33</v>
      </c>
      <c r="E675" t="str">
        <f>IF(OR(A675="", B675=""), "Check missing data", IF(COUNTIFS($A$2:A675, A675, $B$2:B675, B675)&gt;1, "Possible Duplicate", "First Occurrence"))</f>
        <v>First Occurrence</v>
      </c>
      <c r="F675" t="str">
        <f t="shared" si="20"/>
        <v>Absent</v>
      </c>
      <c r="H675" t="str">
        <f t="shared" si="21"/>
        <v>Sales</v>
      </c>
    </row>
    <row r="676" spans="1:8" x14ac:dyDescent="0.35">
      <c r="A676" s="2" t="s">
        <v>155</v>
      </c>
      <c r="B676" s="3">
        <v>46259</v>
      </c>
      <c r="C676" s="2" t="s">
        <v>245</v>
      </c>
      <c r="D676" s="2" t="s">
        <v>33</v>
      </c>
      <c r="E676" t="str">
        <f>IF(OR(A676="", B676=""), "Check missing data", IF(COUNTIFS($A$2:A676, A676, $B$2:B676, B676)&gt;1, "Possible Duplicate", "First Occurrence"))</f>
        <v>First Occurrence</v>
      </c>
      <c r="F676" t="str">
        <f t="shared" si="20"/>
        <v>Absent</v>
      </c>
      <c r="H676" t="str">
        <f t="shared" si="21"/>
        <v>Sales</v>
      </c>
    </row>
    <row r="677" spans="1:8" x14ac:dyDescent="0.35">
      <c r="A677" s="2" t="s">
        <v>155</v>
      </c>
      <c r="B677" s="3">
        <v>46210</v>
      </c>
      <c r="C677" s="2" t="s">
        <v>246</v>
      </c>
      <c r="D677" s="2" t="s">
        <v>33</v>
      </c>
      <c r="E677" t="str">
        <f>IF(OR(A677="", B677=""), "Check missing data", IF(COUNTIFS($A$2:A677, A677, $B$2:B677, B677)&gt;1, "Possible Duplicate", "First Occurrence"))</f>
        <v>First Occurrence</v>
      </c>
      <c r="F677" t="str">
        <f t="shared" si="20"/>
        <v>Present</v>
      </c>
      <c r="H677" t="str">
        <f t="shared" si="21"/>
        <v>Sales</v>
      </c>
    </row>
    <row r="678" spans="1:8" x14ac:dyDescent="0.35">
      <c r="A678" s="2" t="s">
        <v>155</v>
      </c>
      <c r="B678" s="3">
        <v>46261</v>
      </c>
      <c r="C678" s="2" t="s">
        <v>246</v>
      </c>
      <c r="D678" s="2" t="s">
        <v>33</v>
      </c>
      <c r="E678" t="str">
        <f>IF(OR(A678="", B678=""), "Check missing data", IF(COUNTIFS($A$2:A678, A678, $B$2:B678, B678)&gt;1, "Possible Duplicate", "First Occurrence"))</f>
        <v>First Occurrence</v>
      </c>
      <c r="F678" t="str">
        <f t="shared" si="20"/>
        <v>Present</v>
      </c>
      <c r="H678" t="str">
        <f t="shared" si="21"/>
        <v>Sales</v>
      </c>
    </row>
    <row r="679" spans="1:8" x14ac:dyDescent="0.35">
      <c r="A679" s="2" t="s">
        <v>155</v>
      </c>
      <c r="B679" s="3">
        <v>46234</v>
      </c>
      <c r="C679" s="2" t="s">
        <v>246</v>
      </c>
      <c r="D679" s="2" t="s">
        <v>33</v>
      </c>
      <c r="E679" t="str">
        <f>IF(OR(A679="", B679=""), "Check missing data", IF(COUNTIFS($A$2:A679, A679, $B$2:B679, B679)&gt;1, "Possible Duplicate", "First Occurrence"))</f>
        <v>First Occurrence</v>
      </c>
      <c r="F679" t="str">
        <f t="shared" si="20"/>
        <v>Present</v>
      </c>
      <c r="H679" t="str">
        <f t="shared" si="21"/>
        <v>Sales</v>
      </c>
    </row>
    <row r="680" spans="1:8" x14ac:dyDescent="0.35">
      <c r="A680" s="2" t="s">
        <v>155</v>
      </c>
      <c r="B680" s="3">
        <v>46232</v>
      </c>
      <c r="C680" s="2" t="s">
        <v>246</v>
      </c>
      <c r="D680" s="2" t="s">
        <v>33</v>
      </c>
      <c r="E680" t="str">
        <f>IF(OR(A680="", B680=""), "Check missing data", IF(COUNTIFS($A$2:A680, A680, $B$2:B680, B680)&gt;1, "Possible Duplicate", "First Occurrence"))</f>
        <v>First Occurrence</v>
      </c>
      <c r="F680" t="str">
        <f t="shared" si="20"/>
        <v>Present</v>
      </c>
      <c r="H680" t="str">
        <f t="shared" si="21"/>
        <v>Sales</v>
      </c>
    </row>
    <row r="681" spans="1:8" x14ac:dyDescent="0.35">
      <c r="A681" s="2" t="s">
        <v>155</v>
      </c>
      <c r="B681" s="3">
        <v>46273</v>
      </c>
      <c r="C681" s="2" t="s">
        <v>30</v>
      </c>
      <c r="D681" s="2" t="s">
        <v>33</v>
      </c>
      <c r="E681" t="str">
        <f>IF(OR(A681="", B681=""), "Check missing data", IF(COUNTIFS($A$2:A681, A681, $B$2:B681, B681)&gt;1, "Possible Duplicate", "First Occurrence"))</f>
        <v>First Occurrence</v>
      </c>
      <c r="F681" t="str">
        <f t="shared" si="20"/>
        <v>On Leave</v>
      </c>
      <c r="H681" t="str">
        <f t="shared" si="21"/>
        <v>Sales</v>
      </c>
    </row>
    <row r="682" spans="1:8" x14ac:dyDescent="0.35">
      <c r="A682" s="2" t="s">
        <v>155</v>
      </c>
      <c r="B682" s="3">
        <v>46252</v>
      </c>
      <c r="C682" s="2" t="s">
        <v>246</v>
      </c>
      <c r="D682" s="2" t="s">
        <v>33</v>
      </c>
      <c r="E682" t="str">
        <f>IF(OR(A682="", B682=""), "Check missing data", IF(COUNTIFS($A$2:A682, A682, $B$2:B682, B682)&gt;1, "Possible Duplicate", "First Occurrence"))</f>
        <v>First Occurrence</v>
      </c>
      <c r="F682" t="str">
        <f t="shared" si="20"/>
        <v>Present</v>
      </c>
      <c r="H682" t="str">
        <f t="shared" si="21"/>
        <v>Sales</v>
      </c>
    </row>
    <row r="683" spans="1:8" x14ac:dyDescent="0.35">
      <c r="A683" s="2" t="s">
        <v>155</v>
      </c>
      <c r="B683" s="3">
        <v>46217</v>
      </c>
      <c r="C683" s="2" t="s">
        <v>246</v>
      </c>
      <c r="D683" s="2" t="s">
        <v>33</v>
      </c>
      <c r="E683" t="str">
        <f>IF(OR(A683="", B683=""), "Check missing data", IF(COUNTIFS($A$2:A683, A683, $B$2:B683, B683)&gt;1, "Possible Duplicate", "First Occurrence"))</f>
        <v>First Occurrence</v>
      </c>
      <c r="F683" t="str">
        <f t="shared" si="20"/>
        <v>Present</v>
      </c>
      <c r="H683" t="str">
        <f t="shared" si="21"/>
        <v>Sales</v>
      </c>
    </row>
    <row r="684" spans="1:8" x14ac:dyDescent="0.35">
      <c r="A684" s="2" t="s">
        <v>155</v>
      </c>
      <c r="B684" s="3">
        <v>46231</v>
      </c>
      <c r="C684" s="2" t="s">
        <v>30</v>
      </c>
      <c r="D684" s="2" t="s">
        <v>33</v>
      </c>
      <c r="E684" t="str">
        <f>IF(OR(A684="", B684=""), "Check missing data", IF(COUNTIFS($A$2:A684, A684, $B$2:B684, B684)&gt;1, "Possible Duplicate", "First Occurrence"))</f>
        <v>First Occurrence</v>
      </c>
      <c r="F684" t="str">
        <f t="shared" si="20"/>
        <v>On Leave</v>
      </c>
      <c r="H684" t="str">
        <f t="shared" si="21"/>
        <v>Sales</v>
      </c>
    </row>
    <row r="685" spans="1:8" x14ac:dyDescent="0.35">
      <c r="A685" s="2" t="s">
        <v>155</v>
      </c>
      <c r="B685" s="3">
        <v>46237</v>
      </c>
      <c r="C685" s="2" t="s">
        <v>246</v>
      </c>
      <c r="D685" s="2" t="s">
        <v>33</v>
      </c>
      <c r="E685" t="str">
        <f>IF(OR(A685="", B685=""), "Check missing data", IF(COUNTIFS($A$2:A685, A685, $B$2:B685, B685)&gt;1, "Possible Duplicate", "First Occurrence"))</f>
        <v>First Occurrence</v>
      </c>
      <c r="F685" t="str">
        <f t="shared" si="20"/>
        <v>Present</v>
      </c>
      <c r="H685" t="str">
        <f t="shared" si="21"/>
        <v>Sales</v>
      </c>
    </row>
    <row r="686" spans="1:8" x14ac:dyDescent="0.35">
      <c r="A686" s="2" t="s">
        <v>157</v>
      </c>
      <c r="B686" s="3">
        <v>46231</v>
      </c>
      <c r="C686" s="2" t="s">
        <v>246</v>
      </c>
      <c r="D686" s="2" t="s">
        <v>17</v>
      </c>
      <c r="E686" t="str">
        <f>IF(OR(A686="", B686=""), "Check missing data", IF(COUNTIFS($A$2:A686, A686, $B$2:B686, B686)&gt;1, "Possible Duplicate", "First Occurrence"))</f>
        <v>First Occurrence</v>
      </c>
      <c r="F686" t="str">
        <f t="shared" si="20"/>
        <v>Present</v>
      </c>
      <c r="H686" t="str">
        <f t="shared" si="21"/>
        <v>Finance</v>
      </c>
    </row>
    <row r="687" spans="1:8" x14ac:dyDescent="0.35">
      <c r="A687" s="2" t="s">
        <v>157</v>
      </c>
      <c r="B687" s="3">
        <v>46262</v>
      </c>
      <c r="C687" s="2" t="s">
        <v>30</v>
      </c>
      <c r="D687" s="2" t="s">
        <v>17</v>
      </c>
      <c r="E687" t="str">
        <f>IF(OR(A687="", B687=""), "Check missing data", IF(COUNTIFS($A$2:A687, A687, $B$2:B687, B687)&gt;1, "Possible Duplicate", "First Occurrence"))</f>
        <v>First Occurrence</v>
      </c>
      <c r="F687" t="str">
        <f t="shared" si="20"/>
        <v>On Leave</v>
      </c>
      <c r="H687" t="str">
        <f t="shared" si="21"/>
        <v>Finance</v>
      </c>
    </row>
    <row r="688" spans="1:8" x14ac:dyDescent="0.35">
      <c r="A688" s="2" t="s">
        <v>157</v>
      </c>
      <c r="B688" s="3">
        <v>46259</v>
      </c>
      <c r="C688" s="2" t="s">
        <v>30</v>
      </c>
      <c r="D688" s="2" t="s">
        <v>17</v>
      </c>
      <c r="E688" t="str">
        <f>IF(OR(A688="", B688=""), "Check missing data", IF(COUNTIFS($A$2:A688, A688, $B$2:B688, B688)&gt;1, "Possible Duplicate", "First Occurrence"))</f>
        <v>First Occurrence</v>
      </c>
      <c r="F688" t="str">
        <f t="shared" si="20"/>
        <v>On Leave</v>
      </c>
      <c r="H688" t="str">
        <f t="shared" si="21"/>
        <v>Finance</v>
      </c>
    </row>
    <row r="689" spans="1:8" x14ac:dyDescent="0.35">
      <c r="A689" s="2" t="s">
        <v>157</v>
      </c>
      <c r="B689" s="3">
        <v>46274</v>
      </c>
      <c r="C689" s="2" t="s">
        <v>246</v>
      </c>
      <c r="D689" s="2" t="s">
        <v>17</v>
      </c>
      <c r="E689" t="str">
        <f>IF(OR(A689="", B689=""), "Check missing data", IF(COUNTIFS($A$2:A689, A689, $B$2:B689, B689)&gt;1, "Possible Duplicate", "First Occurrence"))</f>
        <v>First Occurrence</v>
      </c>
      <c r="F689" t="str">
        <f t="shared" si="20"/>
        <v>Present</v>
      </c>
      <c r="H689" t="str">
        <f t="shared" si="21"/>
        <v>Finance</v>
      </c>
    </row>
    <row r="690" spans="1:8" x14ac:dyDescent="0.35">
      <c r="A690" s="2" t="s">
        <v>157</v>
      </c>
      <c r="B690" s="3">
        <v>46268</v>
      </c>
      <c r="C690" s="2" t="s">
        <v>246</v>
      </c>
      <c r="D690" s="2" t="s">
        <v>17</v>
      </c>
      <c r="E690" t="str">
        <f>IF(OR(A690="", B690=""), "Check missing data", IF(COUNTIFS($A$2:A690, A690, $B$2:B690, B690)&gt;1, "Possible Duplicate", "First Occurrence"))</f>
        <v>First Occurrence</v>
      </c>
      <c r="F690" t="str">
        <f t="shared" si="20"/>
        <v>Present</v>
      </c>
      <c r="H690" t="str">
        <f t="shared" si="21"/>
        <v>Finance</v>
      </c>
    </row>
    <row r="691" spans="1:8" x14ac:dyDescent="0.35">
      <c r="A691" s="2" t="s">
        <v>157</v>
      </c>
      <c r="B691" s="3">
        <v>46248</v>
      </c>
      <c r="C691" s="2" t="s">
        <v>30</v>
      </c>
      <c r="D691" s="2" t="s">
        <v>17</v>
      </c>
      <c r="E691" t="str">
        <f>IF(OR(A691="", B691=""), "Check missing data", IF(COUNTIFS($A$2:A691, A691, $B$2:B691, B691)&gt;1, "Possible Duplicate", "First Occurrence"))</f>
        <v>First Occurrence</v>
      </c>
      <c r="F691" t="str">
        <f t="shared" si="20"/>
        <v>On Leave</v>
      </c>
      <c r="H691" t="str">
        <f t="shared" si="21"/>
        <v>Finance</v>
      </c>
    </row>
    <row r="692" spans="1:8" x14ac:dyDescent="0.35">
      <c r="A692" s="2" t="s">
        <v>157</v>
      </c>
      <c r="B692" s="3">
        <v>46245</v>
      </c>
      <c r="C692" s="2" t="s">
        <v>246</v>
      </c>
      <c r="D692" s="2" t="s">
        <v>17</v>
      </c>
      <c r="E692" t="str">
        <f>IF(OR(A692="", B692=""), "Check missing data", IF(COUNTIFS($A$2:A692, A692, $B$2:B692, B692)&gt;1, "Possible Duplicate", "First Occurrence"))</f>
        <v>First Occurrence</v>
      </c>
      <c r="F692" t="str">
        <f t="shared" si="20"/>
        <v>Present</v>
      </c>
      <c r="H692" t="str">
        <f t="shared" si="21"/>
        <v>Finance</v>
      </c>
    </row>
    <row r="693" spans="1:8" x14ac:dyDescent="0.35">
      <c r="A693" s="2" t="s">
        <v>157</v>
      </c>
      <c r="B693" s="3">
        <v>46260</v>
      </c>
      <c r="C693" s="2" t="s">
        <v>30</v>
      </c>
      <c r="D693" s="2" t="s">
        <v>17</v>
      </c>
      <c r="E693" t="str">
        <f>IF(OR(A693="", B693=""), "Check missing data", IF(COUNTIFS($A$2:A693, A693, $B$2:B693, B693)&gt;1, "Possible Duplicate", "First Occurrence"))</f>
        <v>First Occurrence</v>
      </c>
      <c r="F693" t="str">
        <f t="shared" si="20"/>
        <v>On Leave</v>
      </c>
      <c r="H693" t="str">
        <f t="shared" si="21"/>
        <v>Finance</v>
      </c>
    </row>
    <row r="694" spans="1:8" x14ac:dyDescent="0.35">
      <c r="A694" s="2" t="s">
        <v>157</v>
      </c>
      <c r="B694" s="3">
        <v>46223</v>
      </c>
      <c r="C694" s="2" t="s">
        <v>247</v>
      </c>
      <c r="D694" s="2" t="s">
        <v>17</v>
      </c>
      <c r="E694" t="str">
        <f>IF(OR(A694="", B694=""), "Check missing data", IF(COUNTIFS($A$2:A694, A694, $B$2:B694, B694)&gt;1, "Possible Duplicate", "First Occurrence"))</f>
        <v>First Occurrence</v>
      </c>
      <c r="F694" t="str">
        <f t="shared" si="20"/>
        <v>Late</v>
      </c>
      <c r="H694" t="str">
        <f t="shared" si="21"/>
        <v>Finance</v>
      </c>
    </row>
    <row r="695" spans="1:8" x14ac:dyDescent="0.35">
      <c r="A695" s="2" t="s">
        <v>157</v>
      </c>
      <c r="B695" s="3">
        <v>46204</v>
      </c>
      <c r="C695" s="2" t="s">
        <v>246</v>
      </c>
      <c r="D695" s="2" t="s">
        <v>17</v>
      </c>
      <c r="E695" t="str">
        <f>IF(OR(A695="", B695=""), "Check missing data", IF(COUNTIFS($A$2:A695, A695, $B$2:B695, B695)&gt;1, "Possible Duplicate", "First Occurrence"))</f>
        <v>First Occurrence</v>
      </c>
      <c r="F695" t="str">
        <f t="shared" si="20"/>
        <v>Present</v>
      </c>
      <c r="H695" t="str">
        <f t="shared" si="21"/>
        <v>Finance</v>
      </c>
    </row>
    <row r="696" spans="1:8" x14ac:dyDescent="0.35">
      <c r="A696" s="2" t="s">
        <v>157</v>
      </c>
      <c r="B696" s="3">
        <v>46293</v>
      </c>
      <c r="C696" s="2" t="s">
        <v>30</v>
      </c>
      <c r="D696" s="2" t="s">
        <v>17</v>
      </c>
      <c r="E696" t="str">
        <f>IF(OR(A696="", B696=""), "Check missing data", IF(COUNTIFS($A$2:A696, A696, $B$2:B696, B696)&gt;1, "Possible Duplicate", "First Occurrence"))</f>
        <v>First Occurrence</v>
      </c>
      <c r="F696" t="str">
        <f t="shared" si="20"/>
        <v>On Leave</v>
      </c>
      <c r="H696" t="str">
        <f t="shared" si="21"/>
        <v>Finance</v>
      </c>
    </row>
    <row r="697" spans="1:8" x14ac:dyDescent="0.35">
      <c r="A697" s="2" t="s">
        <v>157</v>
      </c>
      <c r="B697" s="3">
        <v>46276</v>
      </c>
      <c r="C697" s="2" t="s">
        <v>247</v>
      </c>
      <c r="D697" s="2" t="s">
        <v>17</v>
      </c>
      <c r="E697" t="str">
        <f>IF(OR(A697="", B697=""), "Check missing data", IF(COUNTIFS($A$2:A697, A697, $B$2:B697, B697)&gt;1, "Possible Duplicate", "First Occurrence"))</f>
        <v>First Occurrence</v>
      </c>
      <c r="F697" t="str">
        <f t="shared" si="20"/>
        <v>Late</v>
      </c>
      <c r="H697" t="str">
        <f t="shared" si="21"/>
        <v>Finance</v>
      </c>
    </row>
    <row r="698" spans="1:8" x14ac:dyDescent="0.35">
      <c r="A698" s="2" t="s">
        <v>159</v>
      </c>
      <c r="B698" s="3">
        <v>46226</v>
      </c>
      <c r="C698" s="2" t="s">
        <v>245</v>
      </c>
      <c r="D698" s="2" t="s">
        <v>41</v>
      </c>
      <c r="E698" t="str">
        <f>IF(OR(A698="", B698=""), "Check missing data", IF(COUNTIFS($A$2:A698, A698, $B$2:B698, B698)&gt;1, "Possible Duplicate", "First Occurrence"))</f>
        <v>First Occurrence</v>
      </c>
      <c r="F698" t="str">
        <f t="shared" si="20"/>
        <v>Absent</v>
      </c>
      <c r="H698" t="str">
        <f t="shared" si="21"/>
        <v>Human Resources</v>
      </c>
    </row>
    <row r="699" spans="1:8" x14ac:dyDescent="0.35">
      <c r="A699" s="2" t="s">
        <v>159</v>
      </c>
      <c r="B699" s="3">
        <v>46265</v>
      </c>
      <c r="C699" s="2" t="s">
        <v>246</v>
      </c>
      <c r="D699" s="2" t="s">
        <v>41</v>
      </c>
      <c r="E699" t="str">
        <f>IF(OR(A699="", B699=""), "Check missing data", IF(COUNTIFS($A$2:A699, A699, $B$2:B699, B699)&gt;1, "Possible Duplicate", "First Occurrence"))</f>
        <v>First Occurrence</v>
      </c>
      <c r="F699" t="str">
        <f t="shared" si="20"/>
        <v>Present</v>
      </c>
      <c r="H699" t="str">
        <f t="shared" si="21"/>
        <v>Human Resources</v>
      </c>
    </row>
    <row r="700" spans="1:8" x14ac:dyDescent="0.35">
      <c r="A700" s="2" t="s">
        <v>159</v>
      </c>
      <c r="B700" s="3">
        <v>46282</v>
      </c>
      <c r="C700" s="2" t="s">
        <v>246</v>
      </c>
      <c r="D700" s="2" t="s">
        <v>41</v>
      </c>
      <c r="E700" t="str">
        <f>IF(OR(A700="", B700=""), "Check missing data", IF(COUNTIFS($A$2:A700, A700, $B$2:B700, B700)&gt;1, "Possible Duplicate", "First Occurrence"))</f>
        <v>First Occurrence</v>
      </c>
      <c r="F700" t="str">
        <f t="shared" si="20"/>
        <v>Present</v>
      </c>
      <c r="H700" t="str">
        <f t="shared" si="21"/>
        <v>Human Resources</v>
      </c>
    </row>
    <row r="701" spans="1:8" x14ac:dyDescent="0.35">
      <c r="A701" s="2" t="s">
        <v>159</v>
      </c>
      <c r="B701" s="3">
        <v>46239</v>
      </c>
      <c r="C701" s="2" t="s">
        <v>247</v>
      </c>
      <c r="D701" s="2" t="s">
        <v>41</v>
      </c>
      <c r="E701" t="str">
        <f>IF(OR(A701="", B701=""), "Check missing data", IF(COUNTIFS($A$2:A701, A701, $B$2:B701, B701)&gt;1, "Possible Duplicate", "First Occurrence"))</f>
        <v>First Occurrence</v>
      </c>
      <c r="F701" t="str">
        <f t="shared" si="20"/>
        <v>Late</v>
      </c>
      <c r="H701" t="str">
        <f t="shared" si="21"/>
        <v>Human Resources</v>
      </c>
    </row>
    <row r="702" spans="1:8" x14ac:dyDescent="0.35">
      <c r="A702" s="2" t="s">
        <v>159</v>
      </c>
      <c r="B702" s="3">
        <v>46252</v>
      </c>
      <c r="C702" s="2" t="s">
        <v>246</v>
      </c>
      <c r="D702" s="2" t="s">
        <v>41</v>
      </c>
      <c r="E702" t="str">
        <f>IF(OR(A702="", B702=""), "Check missing data", IF(COUNTIFS($A$2:A702, A702, $B$2:B702, B702)&gt;1, "Possible Duplicate", "First Occurrence"))</f>
        <v>First Occurrence</v>
      </c>
      <c r="F702" t="str">
        <f t="shared" si="20"/>
        <v>Present</v>
      </c>
      <c r="H702" t="str">
        <f t="shared" si="21"/>
        <v>Human Resources</v>
      </c>
    </row>
    <row r="703" spans="1:8" x14ac:dyDescent="0.35">
      <c r="A703" s="2" t="s">
        <v>159</v>
      </c>
      <c r="B703" s="3">
        <v>46255</v>
      </c>
      <c r="C703" s="2" t="s">
        <v>30</v>
      </c>
      <c r="D703" s="2" t="s">
        <v>41</v>
      </c>
      <c r="E703" t="str">
        <f>IF(OR(A703="", B703=""), "Check missing data", IF(COUNTIFS($A$2:A703, A703, $B$2:B703, B703)&gt;1, "Possible Duplicate", "First Occurrence"))</f>
        <v>First Occurrence</v>
      </c>
      <c r="F703" t="str">
        <f t="shared" si="20"/>
        <v>On Leave</v>
      </c>
      <c r="H703" t="str">
        <f t="shared" si="21"/>
        <v>Human Resources</v>
      </c>
    </row>
    <row r="704" spans="1:8" x14ac:dyDescent="0.35">
      <c r="A704" s="2" t="s">
        <v>159</v>
      </c>
      <c r="B704" s="3">
        <v>46216</v>
      </c>
      <c r="C704" s="2" t="s">
        <v>246</v>
      </c>
      <c r="D704" s="2" t="s">
        <v>41</v>
      </c>
      <c r="E704" t="str">
        <f>IF(OR(A704="", B704=""), "Check missing data", IF(COUNTIFS($A$2:A704, A704, $B$2:B704, B704)&gt;1, "Possible Duplicate", "First Occurrence"))</f>
        <v>First Occurrence</v>
      </c>
      <c r="F704" t="str">
        <f t="shared" si="20"/>
        <v>Present</v>
      </c>
      <c r="H704" t="str">
        <f t="shared" si="21"/>
        <v>Human Resources</v>
      </c>
    </row>
    <row r="705" spans="1:8" x14ac:dyDescent="0.35">
      <c r="A705" s="2" t="s">
        <v>159</v>
      </c>
      <c r="B705" s="3">
        <v>46262</v>
      </c>
      <c r="C705" s="2" t="s">
        <v>30</v>
      </c>
      <c r="D705" s="2" t="s">
        <v>41</v>
      </c>
      <c r="E705" t="str">
        <f>IF(OR(A705="", B705=""), "Check missing data", IF(COUNTIFS($A$2:A705, A705, $B$2:B705, B705)&gt;1, "Possible Duplicate", "First Occurrence"))</f>
        <v>First Occurrence</v>
      </c>
      <c r="F705" t="str">
        <f t="shared" si="20"/>
        <v>On Leave</v>
      </c>
      <c r="H705" t="str">
        <f t="shared" si="21"/>
        <v>Human Resources</v>
      </c>
    </row>
    <row r="706" spans="1:8" x14ac:dyDescent="0.35">
      <c r="A706" s="2" t="s">
        <v>159</v>
      </c>
      <c r="B706" s="3">
        <v>46206</v>
      </c>
      <c r="C706" s="2" t="s">
        <v>245</v>
      </c>
      <c r="D706" s="2" t="s">
        <v>41</v>
      </c>
      <c r="E706" t="str">
        <f>IF(OR(A706="", B706=""), "Check missing data", IF(COUNTIFS($A$2:A706, A706, $B$2:B706, B706)&gt;1, "Possible Duplicate", "First Occurrence"))</f>
        <v>First Occurrence</v>
      </c>
      <c r="F706" t="str">
        <f t="shared" si="20"/>
        <v>Absent</v>
      </c>
      <c r="H706" t="str">
        <f t="shared" si="21"/>
        <v>Human Resources</v>
      </c>
    </row>
    <row r="707" spans="1:8" x14ac:dyDescent="0.35">
      <c r="A707" s="2" t="s">
        <v>159</v>
      </c>
      <c r="B707" s="3">
        <v>46275</v>
      </c>
      <c r="C707" s="2" t="s">
        <v>247</v>
      </c>
      <c r="D707" s="2" t="s">
        <v>41</v>
      </c>
      <c r="E707" t="str">
        <f>IF(OR(A707="", B707=""), "Check missing data", IF(COUNTIFS($A$2:A707, A707, $B$2:B707, B707)&gt;1, "Possible Duplicate", "First Occurrence"))</f>
        <v>First Occurrence</v>
      </c>
      <c r="F707" t="str">
        <f t="shared" ref="F707:F770" si="22">PROPER(TRIM(C707))</f>
        <v>Late</v>
      </c>
      <c r="H707" t="str">
        <f t="shared" ref="H707:H770" si="23">TRIM(CLEAN(D707))</f>
        <v>Human Resources</v>
      </c>
    </row>
    <row r="708" spans="1:8" x14ac:dyDescent="0.35">
      <c r="A708" s="2" t="s">
        <v>159</v>
      </c>
      <c r="B708" s="3">
        <v>46251</v>
      </c>
      <c r="C708" s="2" t="s">
        <v>246</v>
      </c>
      <c r="D708" s="2" t="s">
        <v>41</v>
      </c>
      <c r="E708" t="str">
        <f>IF(OR(A708="", B708=""), "Check missing data", IF(COUNTIFS($A$2:A708, A708, $B$2:B708, B708)&gt;1, "Possible Duplicate", "First Occurrence"))</f>
        <v>First Occurrence</v>
      </c>
      <c r="F708" t="str">
        <f t="shared" si="22"/>
        <v>Present</v>
      </c>
      <c r="H708" t="str">
        <f t="shared" si="23"/>
        <v>Human Resources</v>
      </c>
    </row>
    <row r="709" spans="1:8" x14ac:dyDescent="0.35">
      <c r="A709" s="2" t="s">
        <v>159</v>
      </c>
      <c r="B709" s="3">
        <v>46266</v>
      </c>
      <c r="C709" s="2" t="s">
        <v>30</v>
      </c>
      <c r="D709" s="2" t="s">
        <v>41</v>
      </c>
      <c r="E709" t="str">
        <f>IF(OR(A709="", B709=""), "Check missing data", IF(COUNTIFS($A$2:A709, A709, $B$2:B709, B709)&gt;1, "Possible Duplicate", "First Occurrence"))</f>
        <v>First Occurrence</v>
      </c>
      <c r="F709" t="str">
        <f t="shared" si="22"/>
        <v>On Leave</v>
      </c>
      <c r="H709" t="str">
        <f t="shared" si="23"/>
        <v>Human Resources</v>
      </c>
    </row>
    <row r="710" spans="1:8" x14ac:dyDescent="0.35">
      <c r="A710" s="2" t="s">
        <v>161</v>
      </c>
      <c r="B710" s="3">
        <v>46216</v>
      </c>
      <c r="C710" s="2" t="s">
        <v>246</v>
      </c>
      <c r="D710" s="2" t="s">
        <v>11</v>
      </c>
      <c r="E710" t="str">
        <f>IF(OR(A710="", B710=""), "Check missing data", IF(COUNTIFS($A$2:A710, A710, $B$2:B710, B710)&gt;1, "Possible Duplicate", "First Occurrence"))</f>
        <v>First Occurrence</v>
      </c>
      <c r="F710" t="str">
        <f t="shared" si="22"/>
        <v>Present</v>
      </c>
      <c r="H710" t="str">
        <f t="shared" si="23"/>
        <v>Operations</v>
      </c>
    </row>
    <row r="711" spans="1:8" x14ac:dyDescent="0.35">
      <c r="A711" s="2" t="s">
        <v>161</v>
      </c>
      <c r="B711" s="3">
        <v>46245</v>
      </c>
      <c r="C711" s="2" t="s">
        <v>246</v>
      </c>
      <c r="D711" s="2" t="s">
        <v>11</v>
      </c>
      <c r="E711" t="str">
        <f>IF(OR(A711="", B711=""), "Check missing data", IF(COUNTIFS($A$2:A711, A711, $B$2:B711, B711)&gt;1, "Possible Duplicate", "First Occurrence"))</f>
        <v>First Occurrence</v>
      </c>
      <c r="F711" t="str">
        <f t="shared" si="22"/>
        <v>Present</v>
      </c>
      <c r="H711" t="str">
        <f t="shared" si="23"/>
        <v>Operations</v>
      </c>
    </row>
    <row r="712" spans="1:8" x14ac:dyDescent="0.35">
      <c r="A712" s="2" t="s">
        <v>161</v>
      </c>
      <c r="B712" s="3">
        <v>46204</v>
      </c>
      <c r="C712" s="2" t="s">
        <v>246</v>
      </c>
      <c r="D712" s="2" t="s">
        <v>11</v>
      </c>
      <c r="E712" t="str">
        <f>IF(OR(A712="", B712=""), "Check missing data", IF(COUNTIFS($A$2:A712, A712, $B$2:B712, B712)&gt;1, "Possible Duplicate", "First Occurrence"))</f>
        <v>First Occurrence</v>
      </c>
      <c r="F712" t="str">
        <f t="shared" si="22"/>
        <v>Present</v>
      </c>
      <c r="H712" t="str">
        <f t="shared" si="23"/>
        <v>Operations</v>
      </c>
    </row>
    <row r="713" spans="1:8" x14ac:dyDescent="0.35">
      <c r="A713" s="2" t="s">
        <v>161</v>
      </c>
      <c r="B713" s="3">
        <v>46286</v>
      </c>
      <c r="C713" s="2" t="s">
        <v>246</v>
      </c>
      <c r="D713" s="2" t="s">
        <v>11</v>
      </c>
      <c r="E713" t="str">
        <f>IF(OR(A713="", B713=""), "Check missing data", IF(COUNTIFS($A$2:A713, A713, $B$2:B713, B713)&gt;1, "Possible Duplicate", "First Occurrence"))</f>
        <v>First Occurrence</v>
      </c>
      <c r="F713" t="str">
        <f t="shared" si="22"/>
        <v>Present</v>
      </c>
      <c r="H713" t="str">
        <f t="shared" si="23"/>
        <v>Operations</v>
      </c>
    </row>
    <row r="714" spans="1:8" x14ac:dyDescent="0.35">
      <c r="A714" s="2" t="s">
        <v>161</v>
      </c>
      <c r="B714" s="3">
        <v>46266</v>
      </c>
      <c r="C714" s="2" t="s">
        <v>30</v>
      </c>
      <c r="D714" s="2" t="s">
        <v>11</v>
      </c>
      <c r="E714" t="str">
        <f>IF(OR(A714="", B714=""), "Check missing data", IF(COUNTIFS($A$2:A714, A714, $B$2:B714, B714)&gt;1, "Possible Duplicate", "First Occurrence"))</f>
        <v>First Occurrence</v>
      </c>
      <c r="F714" t="str">
        <f t="shared" si="22"/>
        <v>On Leave</v>
      </c>
      <c r="H714" t="str">
        <f t="shared" si="23"/>
        <v>Operations</v>
      </c>
    </row>
    <row r="715" spans="1:8" x14ac:dyDescent="0.35">
      <c r="A715" s="2" t="s">
        <v>161</v>
      </c>
      <c r="B715" s="3">
        <v>46276</v>
      </c>
      <c r="C715" s="2" t="s">
        <v>246</v>
      </c>
      <c r="D715" s="2" t="s">
        <v>11</v>
      </c>
      <c r="E715" t="str">
        <f>IF(OR(A715="", B715=""), "Check missing data", IF(COUNTIFS($A$2:A715, A715, $B$2:B715, B715)&gt;1, "Possible Duplicate", "First Occurrence"))</f>
        <v>First Occurrence</v>
      </c>
      <c r="F715" t="str">
        <f t="shared" si="22"/>
        <v>Present</v>
      </c>
      <c r="H715" t="str">
        <f t="shared" si="23"/>
        <v>Operations</v>
      </c>
    </row>
    <row r="716" spans="1:8" x14ac:dyDescent="0.35">
      <c r="A716" s="2" t="s">
        <v>161</v>
      </c>
      <c r="B716" s="3">
        <v>46239</v>
      </c>
      <c r="C716" s="2" t="s">
        <v>30</v>
      </c>
      <c r="D716" s="2" t="s">
        <v>11</v>
      </c>
      <c r="E716" t="str">
        <f>IF(OR(A716="", B716=""), "Check missing data", IF(COUNTIFS($A$2:A716, A716, $B$2:B716, B716)&gt;1, "Possible Duplicate", "First Occurrence"))</f>
        <v>First Occurrence</v>
      </c>
      <c r="F716" t="str">
        <f t="shared" si="22"/>
        <v>On Leave</v>
      </c>
      <c r="H716" t="str">
        <f t="shared" si="23"/>
        <v>Operations</v>
      </c>
    </row>
    <row r="717" spans="1:8" x14ac:dyDescent="0.35">
      <c r="A717" s="2" t="s">
        <v>161</v>
      </c>
      <c r="B717" s="3">
        <v>46213</v>
      </c>
      <c r="C717" s="2" t="s">
        <v>246</v>
      </c>
      <c r="D717" s="2" t="s">
        <v>11</v>
      </c>
      <c r="E717" t="str">
        <f>IF(OR(A717="", B717=""), "Check missing data", IF(COUNTIFS($A$2:A717, A717, $B$2:B717, B717)&gt;1, "Possible Duplicate", "First Occurrence"))</f>
        <v>First Occurrence</v>
      </c>
      <c r="F717" t="str">
        <f t="shared" si="22"/>
        <v>Present</v>
      </c>
      <c r="H717" t="str">
        <f t="shared" si="23"/>
        <v>Operations</v>
      </c>
    </row>
    <row r="718" spans="1:8" x14ac:dyDescent="0.35">
      <c r="A718" s="2" t="s">
        <v>161</v>
      </c>
      <c r="B718" s="3">
        <v>46259</v>
      </c>
      <c r="C718" s="2" t="s">
        <v>246</v>
      </c>
      <c r="D718" s="2" t="s">
        <v>11</v>
      </c>
      <c r="E718" t="str">
        <f>IF(OR(A718="", B718=""), "Check missing data", IF(COUNTIFS($A$2:A718, A718, $B$2:B718, B718)&gt;1, "Possible Duplicate", "First Occurrence"))</f>
        <v>First Occurrence</v>
      </c>
      <c r="F718" t="str">
        <f t="shared" si="22"/>
        <v>Present</v>
      </c>
      <c r="H718" t="str">
        <f t="shared" si="23"/>
        <v>Operations</v>
      </c>
    </row>
    <row r="719" spans="1:8" x14ac:dyDescent="0.35">
      <c r="A719" s="2" t="s">
        <v>161</v>
      </c>
      <c r="B719" s="3">
        <v>46248</v>
      </c>
      <c r="C719" s="2" t="s">
        <v>245</v>
      </c>
      <c r="D719" s="2" t="s">
        <v>11</v>
      </c>
      <c r="E719" t="str">
        <f>IF(OR(A719="", B719=""), "Check missing data", IF(COUNTIFS($A$2:A719, A719, $B$2:B719, B719)&gt;1, "Possible Duplicate", "First Occurrence"))</f>
        <v>First Occurrence</v>
      </c>
      <c r="F719" t="str">
        <f t="shared" si="22"/>
        <v>Absent</v>
      </c>
      <c r="H719" t="str">
        <f t="shared" si="23"/>
        <v>Operations</v>
      </c>
    </row>
    <row r="720" spans="1:8" x14ac:dyDescent="0.35">
      <c r="A720" s="2" t="s">
        <v>161</v>
      </c>
      <c r="B720" s="3">
        <v>46212</v>
      </c>
      <c r="C720" s="2" t="s">
        <v>246</v>
      </c>
      <c r="D720" s="2" t="s">
        <v>11</v>
      </c>
      <c r="E720" t="str">
        <f>IF(OR(A720="", B720=""), "Check missing data", IF(COUNTIFS($A$2:A720, A720, $B$2:B720, B720)&gt;1, "Possible Duplicate", "First Occurrence"))</f>
        <v>First Occurrence</v>
      </c>
      <c r="F720" t="str">
        <f t="shared" si="22"/>
        <v>Present</v>
      </c>
      <c r="H720" t="str">
        <f t="shared" si="23"/>
        <v>Operations</v>
      </c>
    </row>
    <row r="721" spans="1:8" x14ac:dyDescent="0.35">
      <c r="A721" s="2" t="s">
        <v>161</v>
      </c>
      <c r="B721" s="3">
        <v>46281</v>
      </c>
      <c r="C721" s="2" t="s">
        <v>245</v>
      </c>
      <c r="D721" s="2" t="s">
        <v>11</v>
      </c>
      <c r="E721" t="str">
        <f>IF(OR(A721="", B721=""), "Check missing data", IF(COUNTIFS($A$2:A721, A721, $B$2:B721, B721)&gt;1, "Possible Duplicate", "First Occurrence"))</f>
        <v>First Occurrence</v>
      </c>
      <c r="F721" t="str">
        <f t="shared" si="22"/>
        <v>Absent</v>
      </c>
      <c r="H721" t="str">
        <f t="shared" si="23"/>
        <v>Operations</v>
      </c>
    </row>
    <row r="722" spans="1:8" x14ac:dyDescent="0.35">
      <c r="A722" s="2" t="s">
        <v>163</v>
      </c>
      <c r="B722" s="3">
        <v>46211</v>
      </c>
      <c r="C722" s="2" t="s">
        <v>246</v>
      </c>
      <c r="D722" s="2" t="s">
        <v>41</v>
      </c>
      <c r="E722" t="str">
        <f>IF(OR(A722="", B722=""), "Check missing data", IF(COUNTIFS($A$2:A722, A722, $B$2:B722, B722)&gt;1, "Possible Duplicate", "First Occurrence"))</f>
        <v>First Occurrence</v>
      </c>
      <c r="F722" t="str">
        <f t="shared" si="22"/>
        <v>Present</v>
      </c>
      <c r="H722" t="str">
        <f t="shared" si="23"/>
        <v>Human Resources</v>
      </c>
    </row>
    <row r="723" spans="1:8" x14ac:dyDescent="0.35">
      <c r="A723" s="2" t="s">
        <v>163</v>
      </c>
      <c r="B723" s="3">
        <v>46227</v>
      </c>
      <c r="C723" s="2" t="s">
        <v>247</v>
      </c>
      <c r="D723" s="2" t="s">
        <v>41</v>
      </c>
      <c r="E723" t="str">
        <f>IF(OR(A723="", B723=""), "Check missing data", IF(COUNTIFS($A$2:A723, A723, $B$2:B723, B723)&gt;1, "Possible Duplicate", "First Occurrence"))</f>
        <v>First Occurrence</v>
      </c>
      <c r="F723" t="str">
        <f t="shared" si="22"/>
        <v>Late</v>
      </c>
      <c r="H723" t="str">
        <f t="shared" si="23"/>
        <v>Human Resources</v>
      </c>
    </row>
    <row r="724" spans="1:8" x14ac:dyDescent="0.35">
      <c r="A724" s="2" t="s">
        <v>163</v>
      </c>
      <c r="B724" s="3">
        <v>46275</v>
      </c>
      <c r="C724" s="2" t="s">
        <v>30</v>
      </c>
      <c r="D724" s="2" t="s">
        <v>41</v>
      </c>
      <c r="E724" t="str">
        <f>IF(OR(A724="", B724=""), "Check missing data", IF(COUNTIFS($A$2:A724, A724, $B$2:B724, B724)&gt;1, "Possible Duplicate", "First Occurrence"))</f>
        <v>First Occurrence</v>
      </c>
      <c r="F724" t="str">
        <f t="shared" si="22"/>
        <v>On Leave</v>
      </c>
      <c r="H724" t="str">
        <f t="shared" si="23"/>
        <v>Human Resources</v>
      </c>
    </row>
    <row r="725" spans="1:8" x14ac:dyDescent="0.35">
      <c r="A725" s="2" t="s">
        <v>163</v>
      </c>
      <c r="B725" s="3">
        <v>46240</v>
      </c>
      <c r="C725" s="2" t="s">
        <v>30</v>
      </c>
      <c r="D725" s="2" t="s">
        <v>41</v>
      </c>
      <c r="E725" t="str">
        <f>IF(OR(A725="", B725=""), "Check missing data", IF(COUNTIFS($A$2:A725, A725, $B$2:B725, B725)&gt;1, "Possible Duplicate", "First Occurrence"))</f>
        <v>First Occurrence</v>
      </c>
      <c r="F725" t="str">
        <f t="shared" si="22"/>
        <v>On Leave</v>
      </c>
      <c r="H725" t="str">
        <f t="shared" si="23"/>
        <v>Human Resources</v>
      </c>
    </row>
    <row r="726" spans="1:8" x14ac:dyDescent="0.35">
      <c r="A726" s="2" t="s">
        <v>163</v>
      </c>
      <c r="B726" s="3">
        <v>46204</v>
      </c>
      <c r="C726" s="2" t="s">
        <v>245</v>
      </c>
      <c r="D726" s="2" t="s">
        <v>41</v>
      </c>
      <c r="E726" t="str">
        <f>IF(OR(A726="", B726=""), "Check missing data", IF(COUNTIFS($A$2:A726, A726, $B$2:B726, B726)&gt;1, "Possible Duplicate", "First Occurrence"))</f>
        <v>First Occurrence</v>
      </c>
      <c r="F726" t="str">
        <f t="shared" si="22"/>
        <v>Absent</v>
      </c>
      <c r="H726" t="str">
        <f t="shared" si="23"/>
        <v>Human Resources</v>
      </c>
    </row>
    <row r="727" spans="1:8" x14ac:dyDescent="0.35">
      <c r="A727" s="2" t="s">
        <v>163</v>
      </c>
      <c r="B727" s="3">
        <v>46258</v>
      </c>
      <c r="C727" s="2" t="s">
        <v>245</v>
      </c>
      <c r="D727" s="2" t="s">
        <v>41</v>
      </c>
      <c r="E727" t="str">
        <f>IF(OR(A727="", B727=""), "Check missing data", IF(COUNTIFS($A$2:A727, A727, $B$2:B727, B727)&gt;1, "Possible Duplicate", "First Occurrence"))</f>
        <v>First Occurrence</v>
      </c>
      <c r="F727" t="str">
        <f t="shared" si="22"/>
        <v>Absent</v>
      </c>
      <c r="H727" t="str">
        <f t="shared" si="23"/>
        <v>Human Resources</v>
      </c>
    </row>
    <row r="728" spans="1:8" x14ac:dyDescent="0.35">
      <c r="A728" s="2" t="s">
        <v>163</v>
      </c>
      <c r="B728" s="3">
        <v>46281</v>
      </c>
      <c r="C728" s="2" t="s">
        <v>247</v>
      </c>
      <c r="D728" s="2" t="s">
        <v>41</v>
      </c>
      <c r="E728" t="str">
        <f>IF(OR(A728="", B728=""), "Check missing data", IF(COUNTIFS($A$2:A728, A728, $B$2:B728, B728)&gt;1, "Possible Duplicate", "First Occurrence"))</f>
        <v>First Occurrence</v>
      </c>
      <c r="F728" t="str">
        <f t="shared" si="22"/>
        <v>Late</v>
      </c>
      <c r="H728" t="str">
        <f t="shared" si="23"/>
        <v>Human Resources</v>
      </c>
    </row>
    <row r="729" spans="1:8" x14ac:dyDescent="0.35">
      <c r="A729" s="2" t="s">
        <v>163</v>
      </c>
      <c r="B729" s="3">
        <v>46209</v>
      </c>
      <c r="C729" s="2" t="s">
        <v>245</v>
      </c>
      <c r="D729" s="2" t="s">
        <v>41</v>
      </c>
      <c r="E729" t="str">
        <f>IF(OR(A729="", B729=""), "Check missing data", IF(COUNTIFS($A$2:A729, A729, $B$2:B729, B729)&gt;1, "Possible Duplicate", "First Occurrence"))</f>
        <v>First Occurrence</v>
      </c>
      <c r="F729" t="str">
        <f t="shared" si="22"/>
        <v>Absent</v>
      </c>
      <c r="H729" t="str">
        <f t="shared" si="23"/>
        <v>Human Resources</v>
      </c>
    </row>
    <row r="730" spans="1:8" x14ac:dyDescent="0.35">
      <c r="A730" s="2" t="s">
        <v>163</v>
      </c>
      <c r="B730" s="3">
        <v>46217</v>
      </c>
      <c r="C730" s="2" t="s">
        <v>246</v>
      </c>
      <c r="D730" s="2" t="s">
        <v>41</v>
      </c>
      <c r="E730" t="str">
        <f>IF(OR(A730="", B730=""), "Check missing data", IF(COUNTIFS($A$2:A730, A730, $B$2:B730, B730)&gt;1, "Possible Duplicate", "First Occurrence"))</f>
        <v>First Occurrence</v>
      </c>
      <c r="F730" t="str">
        <f t="shared" si="22"/>
        <v>Present</v>
      </c>
      <c r="H730" t="str">
        <f t="shared" si="23"/>
        <v>Human Resources</v>
      </c>
    </row>
    <row r="731" spans="1:8" x14ac:dyDescent="0.35">
      <c r="A731" s="2" t="s">
        <v>163</v>
      </c>
      <c r="B731" s="3">
        <v>46294</v>
      </c>
      <c r="C731" s="2" t="s">
        <v>246</v>
      </c>
      <c r="D731" s="2" t="s">
        <v>41</v>
      </c>
      <c r="E731" t="str">
        <f>IF(OR(A731="", B731=""), "Check missing data", IF(COUNTIFS($A$2:A731, A731, $B$2:B731, B731)&gt;1, "Possible Duplicate", "First Occurrence"))</f>
        <v>First Occurrence</v>
      </c>
      <c r="F731" t="str">
        <f t="shared" si="22"/>
        <v>Present</v>
      </c>
      <c r="H731" t="str">
        <f t="shared" si="23"/>
        <v>Human Resources</v>
      </c>
    </row>
    <row r="732" spans="1:8" x14ac:dyDescent="0.35">
      <c r="A732" s="2" t="s">
        <v>163</v>
      </c>
      <c r="B732" s="3">
        <v>46216</v>
      </c>
      <c r="C732" s="2" t="s">
        <v>246</v>
      </c>
      <c r="D732" s="2" t="s">
        <v>41</v>
      </c>
      <c r="E732" t="str">
        <f>IF(OR(A732="", B732=""), "Check missing data", IF(COUNTIFS($A$2:A732, A732, $B$2:B732, B732)&gt;1, "Possible Duplicate", "First Occurrence"))</f>
        <v>First Occurrence</v>
      </c>
      <c r="F732" t="str">
        <f t="shared" si="22"/>
        <v>Present</v>
      </c>
      <c r="H732" t="str">
        <f t="shared" si="23"/>
        <v>Human Resources</v>
      </c>
    </row>
    <row r="733" spans="1:8" x14ac:dyDescent="0.35">
      <c r="A733" s="2" t="s">
        <v>163</v>
      </c>
      <c r="B733" s="3">
        <v>46230</v>
      </c>
      <c r="C733" s="2" t="s">
        <v>30</v>
      </c>
      <c r="D733" s="2" t="s">
        <v>41</v>
      </c>
      <c r="E733" t="str">
        <f>IF(OR(A733="", B733=""), "Check missing data", IF(COUNTIFS($A$2:A733, A733, $B$2:B733, B733)&gt;1, "Possible Duplicate", "First Occurrence"))</f>
        <v>First Occurrence</v>
      </c>
      <c r="F733" t="str">
        <f t="shared" si="22"/>
        <v>On Leave</v>
      </c>
      <c r="H733" t="str">
        <f t="shared" si="23"/>
        <v>Human Resources</v>
      </c>
    </row>
    <row r="734" spans="1:8" x14ac:dyDescent="0.35">
      <c r="A734" s="2" t="s">
        <v>165</v>
      </c>
      <c r="B734" s="3">
        <v>46252</v>
      </c>
      <c r="C734" s="2" t="s">
        <v>246</v>
      </c>
      <c r="D734" s="2" t="s">
        <v>37</v>
      </c>
      <c r="E734" t="str">
        <f>IF(OR(A734="", B734=""), "Check missing data", IF(COUNTIFS($A$2:A734, A734, $B$2:B734, B734)&gt;1, "Possible Duplicate", "First Occurrence"))</f>
        <v>First Occurrence</v>
      </c>
      <c r="F734" t="str">
        <f t="shared" si="22"/>
        <v>Present</v>
      </c>
      <c r="H734" t="str">
        <f t="shared" si="23"/>
        <v>Customer Support</v>
      </c>
    </row>
    <row r="735" spans="1:8" x14ac:dyDescent="0.35">
      <c r="A735" s="2" t="s">
        <v>165</v>
      </c>
      <c r="B735" s="3">
        <v>46240</v>
      </c>
      <c r="C735" s="2" t="s">
        <v>246</v>
      </c>
      <c r="D735" s="2" t="s">
        <v>37</v>
      </c>
      <c r="E735" t="str">
        <f>IF(OR(A735="", B735=""), "Check missing data", IF(COUNTIFS($A$2:A735, A735, $B$2:B735, B735)&gt;1, "Possible Duplicate", "First Occurrence"))</f>
        <v>First Occurrence</v>
      </c>
      <c r="F735" t="str">
        <f t="shared" si="22"/>
        <v>Present</v>
      </c>
      <c r="H735" t="str">
        <f t="shared" si="23"/>
        <v>Customer Support</v>
      </c>
    </row>
    <row r="736" spans="1:8" x14ac:dyDescent="0.35">
      <c r="A736" s="2" t="s">
        <v>165</v>
      </c>
      <c r="B736" s="3">
        <v>46226</v>
      </c>
      <c r="C736" s="2" t="s">
        <v>30</v>
      </c>
      <c r="D736" s="2" t="s">
        <v>37</v>
      </c>
      <c r="E736" t="str">
        <f>IF(OR(A736="", B736=""), "Check missing data", IF(COUNTIFS($A$2:A736, A736, $B$2:B736, B736)&gt;1, "Possible Duplicate", "First Occurrence"))</f>
        <v>First Occurrence</v>
      </c>
      <c r="F736" t="str">
        <f t="shared" si="22"/>
        <v>On Leave</v>
      </c>
      <c r="H736" t="str">
        <f t="shared" si="23"/>
        <v>Customer Support</v>
      </c>
    </row>
    <row r="737" spans="1:8" x14ac:dyDescent="0.35">
      <c r="A737" s="2" t="s">
        <v>165</v>
      </c>
      <c r="B737" s="3">
        <v>46219</v>
      </c>
      <c r="C737" s="2" t="s">
        <v>247</v>
      </c>
      <c r="D737" s="2" t="s">
        <v>37</v>
      </c>
      <c r="E737" t="str">
        <f>IF(OR(A737="", B737=""), "Check missing data", IF(COUNTIFS($A$2:A737, A737, $B$2:B737, B737)&gt;1, "Possible Duplicate", "First Occurrence"))</f>
        <v>First Occurrence</v>
      </c>
      <c r="F737" t="str">
        <f t="shared" si="22"/>
        <v>Late</v>
      </c>
      <c r="H737" t="str">
        <f t="shared" si="23"/>
        <v>Customer Support</v>
      </c>
    </row>
    <row r="738" spans="1:8" x14ac:dyDescent="0.35">
      <c r="A738" s="2" t="s">
        <v>165</v>
      </c>
      <c r="B738" s="3">
        <v>46216</v>
      </c>
      <c r="C738" s="2" t="s">
        <v>246</v>
      </c>
      <c r="D738" s="2" t="s">
        <v>37</v>
      </c>
      <c r="E738" t="str">
        <f>IF(OR(A738="", B738=""), "Check missing data", IF(COUNTIFS($A$2:A738, A738, $B$2:B738, B738)&gt;1, "Possible Duplicate", "First Occurrence"))</f>
        <v>First Occurrence</v>
      </c>
      <c r="F738" t="str">
        <f t="shared" si="22"/>
        <v>Present</v>
      </c>
      <c r="H738" t="str">
        <f t="shared" si="23"/>
        <v>Customer Support</v>
      </c>
    </row>
    <row r="739" spans="1:8" x14ac:dyDescent="0.35">
      <c r="A739" s="2" t="s">
        <v>165</v>
      </c>
      <c r="B739" s="3">
        <v>46232</v>
      </c>
      <c r="C739" s="2" t="s">
        <v>246</v>
      </c>
      <c r="D739" s="2" t="s">
        <v>37</v>
      </c>
      <c r="E739" t="str">
        <f>IF(OR(A739="", B739=""), "Check missing data", IF(COUNTIFS($A$2:A739, A739, $B$2:B739, B739)&gt;1, "Possible Duplicate", "First Occurrence"))</f>
        <v>First Occurrence</v>
      </c>
      <c r="F739" t="str">
        <f t="shared" si="22"/>
        <v>Present</v>
      </c>
      <c r="H739" t="str">
        <f t="shared" si="23"/>
        <v>Customer Support</v>
      </c>
    </row>
    <row r="740" spans="1:8" x14ac:dyDescent="0.35">
      <c r="A740" s="2" t="s">
        <v>165</v>
      </c>
      <c r="B740" s="3">
        <v>46282</v>
      </c>
      <c r="C740" s="2" t="s">
        <v>246</v>
      </c>
      <c r="D740" s="2" t="s">
        <v>37</v>
      </c>
      <c r="E740" t="str">
        <f>IF(OR(A740="", B740=""), "Check missing data", IF(COUNTIFS($A$2:A740, A740, $B$2:B740, B740)&gt;1, "Possible Duplicate", "First Occurrence"))</f>
        <v>First Occurrence</v>
      </c>
      <c r="F740" t="str">
        <f t="shared" si="22"/>
        <v>Present</v>
      </c>
      <c r="H740" t="str">
        <f t="shared" si="23"/>
        <v>Customer Support</v>
      </c>
    </row>
    <row r="741" spans="1:8" x14ac:dyDescent="0.35">
      <c r="A741" s="2" t="s">
        <v>165</v>
      </c>
      <c r="B741" s="3">
        <v>46269</v>
      </c>
      <c r="C741" s="2" t="s">
        <v>245</v>
      </c>
      <c r="D741" s="2" t="s">
        <v>37</v>
      </c>
      <c r="E741" t="str">
        <f>IF(OR(A741="", B741=""), "Check missing data", IF(COUNTIFS($A$2:A741, A741, $B$2:B741, B741)&gt;1, "Possible Duplicate", "First Occurrence"))</f>
        <v>First Occurrence</v>
      </c>
      <c r="F741" t="str">
        <f t="shared" si="22"/>
        <v>Absent</v>
      </c>
      <c r="H741" t="str">
        <f t="shared" si="23"/>
        <v>Customer Support</v>
      </c>
    </row>
    <row r="742" spans="1:8" x14ac:dyDescent="0.35">
      <c r="A742" s="2" t="s">
        <v>165</v>
      </c>
      <c r="B742" s="3">
        <v>46225</v>
      </c>
      <c r="C742" s="2" t="s">
        <v>246</v>
      </c>
      <c r="D742" s="2" t="s">
        <v>37</v>
      </c>
      <c r="E742" t="str">
        <f>IF(OR(A742="", B742=""), "Check missing data", IF(COUNTIFS($A$2:A742, A742, $B$2:B742, B742)&gt;1, "Possible Duplicate", "First Occurrence"))</f>
        <v>First Occurrence</v>
      </c>
      <c r="F742" t="str">
        <f t="shared" si="22"/>
        <v>Present</v>
      </c>
      <c r="H742" t="str">
        <f t="shared" si="23"/>
        <v>Customer Support</v>
      </c>
    </row>
    <row r="743" spans="1:8" x14ac:dyDescent="0.35">
      <c r="A743" s="2" t="s">
        <v>165</v>
      </c>
      <c r="B743" s="3">
        <v>46204</v>
      </c>
      <c r="C743" s="2" t="s">
        <v>246</v>
      </c>
      <c r="D743" s="2" t="s">
        <v>37</v>
      </c>
      <c r="E743" t="str">
        <f>IF(OR(A743="", B743=""), "Check missing data", IF(COUNTIFS($A$2:A743, A743, $B$2:B743, B743)&gt;1, "Possible Duplicate", "First Occurrence"))</f>
        <v>First Occurrence</v>
      </c>
      <c r="F743" t="str">
        <f t="shared" si="22"/>
        <v>Present</v>
      </c>
      <c r="H743" t="str">
        <f t="shared" si="23"/>
        <v>Customer Support</v>
      </c>
    </row>
    <row r="744" spans="1:8" x14ac:dyDescent="0.35">
      <c r="A744" s="2" t="s">
        <v>165</v>
      </c>
      <c r="B744" s="3">
        <v>46287</v>
      </c>
      <c r="C744" s="2" t="s">
        <v>247</v>
      </c>
      <c r="D744" s="2" t="s">
        <v>37</v>
      </c>
      <c r="E744" t="str">
        <f>IF(OR(A744="", B744=""), "Check missing data", IF(COUNTIFS($A$2:A744, A744, $B$2:B744, B744)&gt;1, "Possible Duplicate", "First Occurrence"))</f>
        <v>First Occurrence</v>
      </c>
      <c r="F744" t="str">
        <f t="shared" si="22"/>
        <v>Late</v>
      </c>
      <c r="H744" t="str">
        <f t="shared" si="23"/>
        <v>Customer Support</v>
      </c>
    </row>
    <row r="745" spans="1:8" x14ac:dyDescent="0.35">
      <c r="A745" s="2" t="s">
        <v>165</v>
      </c>
      <c r="B745" s="3">
        <v>46268</v>
      </c>
      <c r="C745" s="2" t="s">
        <v>246</v>
      </c>
      <c r="D745" s="2" t="s">
        <v>37</v>
      </c>
      <c r="E745" t="str">
        <f>IF(OR(A745="", B745=""), "Check missing data", IF(COUNTIFS($A$2:A745, A745, $B$2:B745, B745)&gt;1, "Possible Duplicate", "First Occurrence"))</f>
        <v>First Occurrence</v>
      </c>
      <c r="F745" t="str">
        <f t="shared" si="22"/>
        <v>Present</v>
      </c>
      <c r="H745" t="str">
        <f t="shared" si="23"/>
        <v>Customer Support</v>
      </c>
    </row>
    <row r="746" spans="1:8" x14ac:dyDescent="0.35">
      <c r="A746" s="2" t="s">
        <v>167</v>
      </c>
      <c r="B746" s="3">
        <v>46267</v>
      </c>
      <c r="C746" s="2" t="s">
        <v>247</v>
      </c>
      <c r="D746" s="2" t="s">
        <v>33</v>
      </c>
      <c r="E746" t="str">
        <f>IF(OR(A746="", B746=""), "Check missing data", IF(COUNTIFS($A$2:A746, A746, $B$2:B746, B746)&gt;1, "Possible Duplicate", "First Occurrence"))</f>
        <v>First Occurrence</v>
      </c>
      <c r="F746" t="str">
        <f t="shared" si="22"/>
        <v>Late</v>
      </c>
      <c r="H746" t="str">
        <f t="shared" si="23"/>
        <v>Sales</v>
      </c>
    </row>
    <row r="747" spans="1:8" x14ac:dyDescent="0.35">
      <c r="A747" s="2" t="s">
        <v>167</v>
      </c>
      <c r="B747" s="3">
        <v>46210</v>
      </c>
      <c r="C747" s="2" t="s">
        <v>30</v>
      </c>
      <c r="D747" s="2" t="s">
        <v>33</v>
      </c>
      <c r="E747" t="str">
        <f>IF(OR(A747="", B747=""), "Check missing data", IF(COUNTIFS($A$2:A747, A747, $B$2:B747, B747)&gt;1, "Possible Duplicate", "First Occurrence"))</f>
        <v>First Occurrence</v>
      </c>
      <c r="F747" t="str">
        <f t="shared" si="22"/>
        <v>On Leave</v>
      </c>
      <c r="H747" t="str">
        <f t="shared" si="23"/>
        <v>Sales</v>
      </c>
    </row>
    <row r="748" spans="1:8" x14ac:dyDescent="0.35">
      <c r="A748" s="2" t="s">
        <v>167</v>
      </c>
      <c r="B748" s="3">
        <v>46280</v>
      </c>
      <c r="C748" s="2" t="s">
        <v>245</v>
      </c>
      <c r="D748" s="2" t="s">
        <v>33</v>
      </c>
      <c r="E748" t="str">
        <f>IF(OR(A748="", B748=""), "Check missing data", IF(COUNTIFS($A$2:A748, A748, $B$2:B748, B748)&gt;1, "Possible Duplicate", "First Occurrence"))</f>
        <v>First Occurrence</v>
      </c>
      <c r="F748" t="str">
        <f t="shared" si="22"/>
        <v>Absent</v>
      </c>
      <c r="H748" t="str">
        <f t="shared" si="23"/>
        <v>Sales</v>
      </c>
    </row>
    <row r="749" spans="1:8" x14ac:dyDescent="0.35">
      <c r="A749" s="2" t="s">
        <v>167</v>
      </c>
      <c r="B749" s="3">
        <v>46224</v>
      </c>
      <c r="C749" s="2" t="s">
        <v>246</v>
      </c>
      <c r="D749" s="2" t="s">
        <v>33</v>
      </c>
      <c r="E749" t="str">
        <f>IF(OR(A749="", B749=""), "Check missing data", IF(COUNTIFS($A$2:A749, A749, $B$2:B749, B749)&gt;1, "Possible Duplicate", "First Occurrence"))</f>
        <v>First Occurrence</v>
      </c>
      <c r="F749" t="str">
        <f t="shared" si="22"/>
        <v>Present</v>
      </c>
      <c r="H749" t="str">
        <f t="shared" si="23"/>
        <v>Sales</v>
      </c>
    </row>
    <row r="750" spans="1:8" x14ac:dyDescent="0.35">
      <c r="A750" s="2" t="s">
        <v>167</v>
      </c>
      <c r="B750" s="3">
        <v>46204</v>
      </c>
      <c r="C750" s="2" t="s">
        <v>246</v>
      </c>
      <c r="D750" s="2" t="s">
        <v>33</v>
      </c>
      <c r="E750" t="str">
        <f>IF(OR(A750="", B750=""), "Check missing data", IF(COUNTIFS($A$2:A750, A750, $B$2:B750, B750)&gt;1, "Possible Duplicate", "First Occurrence"))</f>
        <v>First Occurrence</v>
      </c>
      <c r="F750" t="str">
        <f t="shared" si="22"/>
        <v>Present</v>
      </c>
      <c r="H750" t="str">
        <f t="shared" si="23"/>
        <v>Sales</v>
      </c>
    </row>
    <row r="751" spans="1:8" x14ac:dyDescent="0.35">
      <c r="A751" s="2" t="s">
        <v>167</v>
      </c>
      <c r="B751" s="3">
        <v>46248</v>
      </c>
      <c r="C751" s="2" t="s">
        <v>30</v>
      </c>
      <c r="D751" s="2" t="s">
        <v>33</v>
      </c>
      <c r="E751" t="str">
        <f>IF(OR(A751="", B751=""), "Check missing data", IF(COUNTIFS($A$2:A751, A751, $B$2:B751, B751)&gt;1, "Possible Duplicate", "First Occurrence"))</f>
        <v>First Occurrence</v>
      </c>
      <c r="F751" t="str">
        <f t="shared" si="22"/>
        <v>On Leave</v>
      </c>
      <c r="H751" t="str">
        <f t="shared" si="23"/>
        <v>Sales</v>
      </c>
    </row>
    <row r="752" spans="1:8" x14ac:dyDescent="0.35">
      <c r="A752" s="2" t="s">
        <v>167</v>
      </c>
      <c r="B752" s="3">
        <v>46290</v>
      </c>
      <c r="C752" s="2" t="s">
        <v>247</v>
      </c>
      <c r="D752" s="2" t="s">
        <v>33</v>
      </c>
      <c r="E752" t="str">
        <f>IF(OR(A752="", B752=""), "Check missing data", IF(COUNTIFS($A$2:A752, A752, $B$2:B752, B752)&gt;1, "Possible Duplicate", "First Occurrence"))</f>
        <v>First Occurrence</v>
      </c>
      <c r="F752" t="str">
        <f t="shared" si="22"/>
        <v>Late</v>
      </c>
      <c r="H752" t="str">
        <f t="shared" si="23"/>
        <v>Sales</v>
      </c>
    </row>
    <row r="753" spans="1:8" x14ac:dyDescent="0.35">
      <c r="A753" s="2" t="s">
        <v>167</v>
      </c>
      <c r="B753" s="3">
        <v>46251</v>
      </c>
      <c r="C753" s="2" t="s">
        <v>246</v>
      </c>
      <c r="D753" s="2" t="s">
        <v>33</v>
      </c>
      <c r="E753" t="str">
        <f>IF(OR(A753="", B753=""), "Check missing data", IF(COUNTIFS($A$2:A753, A753, $B$2:B753, B753)&gt;1, "Possible Duplicate", "First Occurrence"))</f>
        <v>First Occurrence</v>
      </c>
      <c r="F753" t="str">
        <f t="shared" si="22"/>
        <v>Present</v>
      </c>
      <c r="H753" t="str">
        <f t="shared" si="23"/>
        <v>Sales</v>
      </c>
    </row>
    <row r="754" spans="1:8" x14ac:dyDescent="0.35">
      <c r="A754" s="2" t="s">
        <v>167</v>
      </c>
      <c r="B754" s="3">
        <v>46218</v>
      </c>
      <c r="C754" s="2" t="s">
        <v>245</v>
      </c>
      <c r="D754" s="2" t="s">
        <v>33</v>
      </c>
      <c r="E754" t="str">
        <f>IF(OR(A754="", B754=""), "Check missing data", IF(COUNTIFS($A$2:A754, A754, $B$2:B754, B754)&gt;1, "Possible Duplicate", "First Occurrence"))</f>
        <v>First Occurrence</v>
      </c>
      <c r="F754" t="str">
        <f t="shared" si="22"/>
        <v>Absent</v>
      </c>
      <c r="H754" t="str">
        <f t="shared" si="23"/>
        <v>Sales</v>
      </c>
    </row>
    <row r="755" spans="1:8" x14ac:dyDescent="0.35">
      <c r="A755" s="2" t="s">
        <v>167</v>
      </c>
      <c r="B755" s="3">
        <v>46217</v>
      </c>
      <c r="C755" s="2" t="s">
        <v>30</v>
      </c>
      <c r="D755" s="2" t="s">
        <v>33</v>
      </c>
      <c r="E755" t="str">
        <f>IF(OR(A755="", B755=""), "Check missing data", IF(COUNTIFS($A$2:A755, A755, $B$2:B755, B755)&gt;1, "Possible Duplicate", "First Occurrence"))</f>
        <v>First Occurrence</v>
      </c>
      <c r="F755" t="str">
        <f t="shared" si="22"/>
        <v>On Leave</v>
      </c>
      <c r="H755" t="str">
        <f t="shared" si="23"/>
        <v>Sales</v>
      </c>
    </row>
    <row r="756" spans="1:8" x14ac:dyDescent="0.35">
      <c r="A756" s="2" t="s">
        <v>167</v>
      </c>
      <c r="B756" s="3">
        <v>46234</v>
      </c>
      <c r="C756" s="2" t="s">
        <v>245</v>
      </c>
      <c r="D756" s="2" t="s">
        <v>33</v>
      </c>
      <c r="E756" t="str">
        <f>IF(OR(A756="", B756=""), "Check missing data", IF(COUNTIFS($A$2:A756, A756, $B$2:B756, B756)&gt;1, "Possible Duplicate", "First Occurrence"))</f>
        <v>First Occurrence</v>
      </c>
      <c r="F756" t="str">
        <f t="shared" si="22"/>
        <v>Absent</v>
      </c>
      <c r="H756" t="str">
        <f t="shared" si="23"/>
        <v>Sales</v>
      </c>
    </row>
    <row r="757" spans="1:8" x14ac:dyDescent="0.35">
      <c r="A757" s="2" t="s">
        <v>167</v>
      </c>
      <c r="B757" s="3">
        <v>46261</v>
      </c>
      <c r="C757" s="2" t="s">
        <v>247</v>
      </c>
      <c r="D757" s="2" t="s">
        <v>33</v>
      </c>
      <c r="E757" t="str">
        <f>IF(OR(A757="", B757=""), "Check missing data", IF(COUNTIFS($A$2:A757, A757, $B$2:B757, B757)&gt;1, "Possible Duplicate", "First Occurrence"))</f>
        <v>First Occurrence</v>
      </c>
      <c r="F757" t="str">
        <f t="shared" si="22"/>
        <v>Late</v>
      </c>
      <c r="H757" t="str">
        <f t="shared" si="23"/>
        <v>Sales</v>
      </c>
    </row>
    <row r="758" spans="1:8" x14ac:dyDescent="0.35">
      <c r="A758" s="2" t="s">
        <v>169</v>
      </c>
      <c r="B758" s="3">
        <v>46282</v>
      </c>
      <c r="C758" s="2" t="s">
        <v>246</v>
      </c>
      <c r="D758" s="2" t="s">
        <v>37</v>
      </c>
      <c r="E758" t="str">
        <f>IF(OR(A758="", B758=""), "Check missing data", IF(COUNTIFS($A$2:A758, A758, $B$2:B758, B758)&gt;1, "Possible Duplicate", "First Occurrence"))</f>
        <v>First Occurrence</v>
      </c>
      <c r="F758" t="str">
        <f t="shared" si="22"/>
        <v>Present</v>
      </c>
      <c r="H758" t="str">
        <f t="shared" si="23"/>
        <v>Customer Support</v>
      </c>
    </row>
    <row r="759" spans="1:8" x14ac:dyDescent="0.35">
      <c r="A759" s="2" t="s">
        <v>169</v>
      </c>
      <c r="B759" s="3">
        <v>46262</v>
      </c>
      <c r="C759" s="2" t="s">
        <v>246</v>
      </c>
      <c r="D759" s="2" t="s">
        <v>37</v>
      </c>
      <c r="E759" t="str">
        <f>IF(OR(A759="", B759=""), "Check missing data", IF(COUNTIFS($A$2:A759, A759, $B$2:B759, B759)&gt;1, "Possible Duplicate", "First Occurrence"))</f>
        <v>First Occurrence</v>
      </c>
      <c r="F759" t="str">
        <f t="shared" si="22"/>
        <v>Present</v>
      </c>
      <c r="H759" t="str">
        <f t="shared" si="23"/>
        <v>Customer Support</v>
      </c>
    </row>
    <row r="760" spans="1:8" x14ac:dyDescent="0.35">
      <c r="A760" s="2" t="s">
        <v>169</v>
      </c>
      <c r="B760" s="3">
        <v>46206</v>
      </c>
      <c r="C760" s="2" t="s">
        <v>245</v>
      </c>
      <c r="D760" s="2" t="s">
        <v>37</v>
      </c>
      <c r="E760" t="str">
        <f>IF(OR(A760="", B760=""), "Check missing data", IF(COUNTIFS($A$2:A760, A760, $B$2:B760, B760)&gt;1, "Possible Duplicate", "First Occurrence"))</f>
        <v>First Occurrence</v>
      </c>
      <c r="F760" t="str">
        <f t="shared" si="22"/>
        <v>Absent</v>
      </c>
      <c r="H760" t="str">
        <f t="shared" si="23"/>
        <v>Customer Support</v>
      </c>
    </row>
    <row r="761" spans="1:8" x14ac:dyDescent="0.35">
      <c r="A761" s="2" t="s">
        <v>169</v>
      </c>
      <c r="B761" s="3">
        <v>46289</v>
      </c>
      <c r="C761" s="2" t="s">
        <v>246</v>
      </c>
      <c r="D761" s="2" t="s">
        <v>37</v>
      </c>
      <c r="E761" t="str">
        <f>IF(OR(A761="", B761=""), "Check missing data", IF(COUNTIFS($A$2:A761, A761, $B$2:B761, B761)&gt;1, "Possible Duplicate", "First Occurrence"))</f>
        <v>First Occurrence</v>
      </c>
      <c r="F761" t="str">
        <f t="shared" si="22"/>
        <v>Present</v>
      </c>
      <c r="H761" t="str">
        <f t="shared" si="23"/>
        <v>Customer Support</v>
      </c>
    </row>
    <row r="762" spans="1:8" x14ac:dyDescent="0.35">
      <c r="A762" s="2" t="s">
        <v>169</v>
      </c>
      <c r="B762" s="3">
        <v>46260</v>
      </c>
      <c r="C762" s="2" t="s">
        <v>247</v>
      </c>
      <c r="D762" s="2" t="s">
        <v>37</v>
      </c>
      <c r="E762" t="str">
        <f>IF(OR(A762="", B762=""), "Check missing data", IF(COUNTIFS($A$2:A762, A762, $B$2:B762, B762)&gt;1, "Possible Duplicate", "First Occurrence"))</f>
        <v>First Occurrence</v>
      </c>
      <c r="F762" t="str">
        <f t="shared" si="22"/>
        <v>Late</v>
      </c>
      <c r="H762" t="str">
        <f t="shared" si="23"/>
        <v>Customer Support</v>
      </c>
    </row>
    <row r="763" spans="1:8" x14ac:dyDescent="0.35">
      <c r="A763" s="2" t="s">
        <v>169</v>
      </c>
      <c r="B763" s="3">
        <v>46211</v>
      </c>
      <c r="C763" s="2" t="s">
        <v>30</v>
      </c>
      <c r="D763" s="2" t="s">
        <v>37</v>
      </c>
      <c r="E763" t="str">
        <f>IF(OR(A763="", B763=""), "Check missing data", IF(COUNTIFS($A$2:A763, A763, $B$2:B763, B763)&gt;1, "Possible Duplicate", "First Occurrence"))</f>
        <v>First Occurrence</v>
      </c>
      <c r="F763" t="str">
        <f t="shared" si="22"/>
        <v>On Leave</v>
      </c>
      <c r="H763" t="str">
        <f t="shared" si="23"/>
        <v>Customer Support</v>
      </c>
    </row>
    <row r="764" spans="1:8" x14ac:dyDescent="0.35">
      <c r="A764" s="2" t="s">
        <v>169</v>
      </c>
      <c r="B764" s="3">
        <v>46290</v>
      </c>
      <c r="C764" s="2" t="s">
        <v>246</v>
      </c>
      <c r="D764" s="2" t="s">
        <v>37</v>
      </c>
      <c r="E764" t="str">
        <f>IF(OR(A764="", B764=""), "Check missing data", IF(COUNTIFS($A$2:A764, A764, $B$2:B764, B764)&gt;1, "Possible Duplicate", "First Occurrence"))</f>
        <v>First Occurrence</v>
      </c>
      <c r="F764" t="str">
        <f t="shared" si="22"/>
        <v>Present</v>
      </c>
      <c r="H764" t="str">
        <f t="shared" si="23"/>
        <v>Customer Support</v>
      </c>
    </row>
    <row r="765" spans="1:8" x14ac:dyDescent="0.35">
      <c r="A765" s="2" t="s">
        <v>169</v>
      </c>
      <c r="B765" s="3">
        <v>46255</v>
      </c>
      <c r="C765" s="2" t="s">
        <v>246</v>
      </c>
      <c r="D765" s="2" t="s">
        <v>37</v>
      </c>
      <c r="E765" t="str">
        <f>IF(OR(A765="", B765=""), "Check missing data", IF(COUNTIFS($A$2:A765, A765, $B$2:B765, B765)&gt;1, "Possible Duplicate", "First Occurrence"))</f>
        <v>First Occurrence</v>
      </c>
      <c r="F765" t="str">
        <f t="shared" si="22"/>
        <v>Present</v>
      </c>
      <c r="H765" t="str">
        <f t="shared" si="23"/>
        <v>Customer Support</v>
      </c>
    </row>
    <row r="766" spans="1:8" x14ac:dyDescent="0.35">
      <c r="A766" s="2" t="s">
        <v>169</v>
      </c>
      <c r="B766" s="3">
        <v>46268</v>
      </c>
      <c r="C766" s="2" t="s">
        <v>246</v>
      </c>
      <c r="D766" s="2" t="s">
        <v>37</v>
      </c>
      <c r="E766" t="str">
        <f>IF(OR(A766="", B766=""), "Check missing data", IF(COUNTIFS($A$2:A766, A766, $B$2:B766, B766)&gt;1, "Possible Duplicate", "First Occurrence"))</f>
        <v>First Occurrence</v>
      </c>
      <c r="F766" t="str">
        <f t="shared" si="22"/>
        <v>Present</v>
      </c>
      <c r="H766" t="str">
        <f t="shared" si="23"/>
        <v>Customer Support</v>
      </c>
    </row>
    <row r="767" spans="1:8" x14ac:dyDescent="0.35">
      <c r="A767" s="2" t="s">
        <v>169</v>
      </c>
      <c r="B767" s="3">
        <v>46280</v>
      </c>
      <c r="C767" s="2" t="s">
        <v>30</v>
      </c>
      <c r="D767" s="2" t="s">
        <v>37</v>
      </c>
      <c r="E767" t="str">
        <f>IF(OR(A767="", B767=""), "Check missing data", IF(COUNTIFS($A$2:A767, A767, $B$2:B767, B767)&gt;1, "Possible Duplicate", "First Occurrence"))</f>
        <v>First Occurrence</v>
      </c>
      <c r="F767" t="str">
        <f t="shared" si="22"/>
        <v>On Leave</v>
      </c>
      <c r="H767" t="str">
        <f t="shared" si="23"/>
        <v>Customer Support</v>
      </c>
    </row>
    <row r="768" spans="1:8" x14ac:dyDescent="0.35">
      <c r="A768" s="2" t="s">
        <v>169</v>
      </c>
      <c r="B768" s="3">
        <v>46233</v>
      </c>
      <c r="C768" s="2" t="s">
        <v>245</v>
      </c>
      <c r="D768" s="2" t="s">
        <v>37</v>
      </c>
      <c r="E768" t="str">
        <f>IF(OR(A768="", B768=""), "Check missing data", IF(COUNTIFS($A$2:A768, A768, $B$2:B768, B768)&gt;1, "Possible Duplicate", "First Occurrence"))</f>
        <v>First Occurrence</v>
      </c>
      <c r="F768" t="str">
        <f t="shared" si="22"/>
        <v>Absent</v>
      </c>
      <c r="H768" t="str">
        <f t="shared" si="23"/>
        <v>Customer Support</v>
      </c>
    </row>
    <row r="769" spans="1:8" x14ac:dyDescent="0.35">
      <c r="A769" s="2" t="s">
        <v>169</v>
      </c>
      <c r="B769" s="3">
        <v>46247</v>
      </c>
      <c r="C769" s="2" t="s">
        <v>246</v>
      </c>
      <c r="D769" s="2" t="s">
        <v>37</v>
      </c>
      <c r="E769" t="str">
        <f>IF(OR(A769="", B769=""), "Check missing data", IF(COUNTIFS($A$2:A769, A769, $B$2:B769, B769)&gt;1, "Possible Duplicate", "First Occurrence"))</f>
        <v>First Occurrence</v>
      </c>
      <c r="F769" t="str">
        <f t="shared" si="22"/>
        <v>Present</v>
      </c>
      <c r="H769" t="str">
        <f t="shared" si="23"/>
        <v>Customer Support</v>
      </c>
    </row>
    <row r="770" spans="1:8" x14ac:dyDescent="0.35">
      <c r="A770" s="2" t="s">
        <v>171</v>
      </c>
      <c r="B770" s="3">
        <v>46212</v>
      </c>
      <c r="C770" s="2" t="s">
        <v>246</v>
      </c>
      <c r="D770" s="2" t="s">
        <v>22</v>
      </c>
      <c r="E770" t="str">
        <f>IF(OR(A770="", B770=""), "Check missing data", IF(COUNTIFS($A$2:A770, A770, $B$2:B770, B770)&gt;1, "Possible Duplicate", "First Occurrence"))</f>
        <v>First Occurrence</v>
      </c>
      <c r="F770" t="str">
        <f t="shared" si="22"/>
        <v>Present</v>
      </c>
      <c r="H770" t="str">
        <f t="shared" si="23"/>
        <v>IT</v>
      </c>
    </row>
    <row r="771" spans="1:8" x14ac:dyDescent="0.35">
      <c r="A771" s="2" t="s">
        <v>171</v>
      </c>
      <c r="B771" s="3">
        <v>46239</v>
      </c>
      <c r="C771" s="2" t="s">
        <v>246</v>
      </c>
      <c r="D771" s="2" t="s">
        <v>22</v>
      </c>
      <c r="E771" t="str">
        <f>IF(OR(A771="", B771=""), "Check missing data", IF(COUNTIFS($A$2:A771, A771, $B$2:B771, B771)&gt;1, "Possible Duplicate", "First Occurrence"))</f>
        <v>First Occurrence</v>
      </c>
      <c r="F771" t="str">
        <f t="shared" ref="F771:F834" si="24">PROPER(TRIM(C771))</f>
        <v>Present</v>
      </c>
      <c r="H771" t="str">
        <f t="shared" ref="H771:H834" si="25">TRIM(CLEAN(D771))</f>
        <v>IT</v>
      </c>
    </row>
    <row r="772" spans="1:8" x14ac:dyDescent="0.35">
      <c r="A772" s="2" t="s">
        <v>171</v>
      </c>
      <c r="B772" s="3">
        <v>46245</v>
      </c>
      <c r="C772" s="2" t="s">
        <v>245</v>
      </c>
      <c r="D772" s="2" t="s">
        <v>22</v>
      </c>
      <c r="E772" t="str">
        <f>IF(OR(A772="", B772=""), "Check missing data", IF(COUNTIFS($A$2:A772, A772, $B$2:B772, B772)&gt;1, "Possible Duplicate", "First Occurrence"))</f>
        <v>First Occurrence</v>
      </c>
      <c r="F772" t="str">
        <f t="shared" si="24"/>
        <v>Absent</v>
      </c>
      <c r="H772" t="str">
        <f t="shared" si="25"/>
        <v>IT</v>
      </c>
    </row>
    <row r="773" spans="1:8" x14ac:dyDescent="0.35">
      <c r="A773" s="2" t="s">
        <v>171</v>
      </c>
      <c r="B773" s="3">
        <v>46282</v>
      </c>
      <c r="C773" s="2" t="s">
        <v>30</v>
      </c>
      <c r="D773" s="2" t="s">
        <v>22</v>
      </c>
      <c r="E773" t="str">
        <f>IF(OR(A773="", B773=""), "Check missing data", IF(COUNTIFS($A$2:A773, A773, $B$2:B773, B773)&gt;1, "Possible Duplicate", "First Occurrence"))</f>
        <v>First Occurrence</v>
      </c>
      <c r="F773" t="str">
        <f t="shared" si="24"/>
        <v>On Leave</v>
      </c>
      <c r="H773" t="str">
        <f t="shared" si="25"/>
        <v>IT</v>
      </c>
    </row>
    <row r="774" spans="1:8" x14ac:dyDescent="0.35">
      <c r="A774" s="2" t="s">
        <v>171</v>
      </c>
      <c r="B774" s="3">
        <v>46281</v>
      </c>
      <c r="C774" s="2" t="s">
        <v>247</v>
      </c>
      <c r="D774" s="2" t="s">
        <v>22</v>
      </c>
      <c r="E774" t="str">
        <f>IF(OR(A774="", B774=""), "Check missing data", IF(COUNTIFS($A$2:A774, A774, $B$2:B774, B774)&gt;1, "Possible Duplicate", "First Occurrence"))</f>
        <v>First Occurrence</v>
      </c>
      <c r="F774" t="str">
        <f t="shared" si="24"/>
        <v>Late</v>
      </c>
      <c r="H774" t="str">
        <f t="shared" si="25"/>
        <v>IT</v>
      </c>
    </row>
    <row r="775" spans="1:8" x14ac:dyDescent="0.35">
      <c r="A775" s="2" t="s">
        <v>171</v>
      </c>
      <c r="B775" s="3">
        <v>46227</v>
      </c>
      <c r="C775" s="2" t="s">
        <v>246</v>
      </c>
      <c r="D775" s="2" t="s">
        <v>22</v>
      </c>
      <c r="E775" t="str">
        <f>IF(OR(A775="", B775=""), "Check missing data", IF(COUNTIFS($A$2:A775, A775, $B$2:B775, B775)&gt;1, "Possible Duplicate", "First Occurrence"))</f>
        <v>First Occurrence</v>
      </c>
      <c r="F775" t="str">
        <f t="shared" si="24"/>
        <v>Present</v>
      </c>
      <c r="H775" t="str">
        <f t="shared" si="25"/>
        <v>IT</v>
      </c>
    </row>
    <row r="776" spans="1:8" x14ac:dyDescent="0.35">
      <c r="A776" s="2" t="s">
        <v>171</v>
      </c>
      <c r="B776" s="3">
        <v>46224</v>
      </c>
      <c r="C776" s="2" t="s">
        <v>246</v>
      </c>
      <c r="D776" s="2" t="s">
        <v>22</v>
      </c>
      <c r="E776" t="str">
        <f>IF(OR(A776="", B776=""), "Check missing data", IF(COUNTIFS($A$2:A776, A776, $B$2:B776, B776)&gt;1, "Possible Duplicate", "First Occurrence"))</f>
        <v>First Occurrence</v>
      </c>
      <c r="F776" t="str">
        <f t="shared" si="24"/>
        <v>Present</v>
      </c>
      <c r="H776" t="str">
        <f t="shared" si="25"/>
        <v>IT</v>
      </c>
    </row>
    <row r="777" spans="1:8" x14ac:dyDescent="0.35">
      <c r="A777" s="2" t="s">
        <v>171</v>
      </c>
      <c r="B777" s="3">
        <v>46295</v>
      </c>
      <c r="C777" s="2" t="s">
        <v>246</v>
      </c>
      <c r="D777" s="2" t="s">
        <v>22</v>
      </c>
      <c r="E777" t="str">
        <f>IF(OR(A777="", B777=""), "Check missing data", IF(COUNTIFS($A$2:A777, A777, $B$2:B777, B777)&gt;1, "Possible Duplicate", "First Occurrence"))</f>
        <v>First Occurrence</v>
      </c>
      <c r="F777" t="str">
        <f t="shared" si="24"/>
        <v>Present</v>
      </c>
      <c r="H777" t="str">
        <f t="shared" si="25"/>
        <v>IT</v>
      </c>
    </row>
    <row r="778" spans="1:8" x14ac:dyDescent="0.35">
      <c r="A778" s="2" t="s">
        <v>171</v>
      </c>
      <c r="B778" s="3">
        <v>46283</v>
      </c>
      <c r="C778" s="2" t="s">
        <v>246</v>
      </c>
      <c r="D778" s="2" t="s">
        <v>22</v>
      </c>
      <c r="E778" t="str">
        <f>IF(OR(A778="", B778=""), "Check missing data", IF(COUNTIFS($A$2:A778, A778, $B$2:B778, B778)&gt;1, "Possible Duplicate", "First Occurrence"))</f>
        <v>First Occurrence</v>
      </c>
      <c r="F778" t="str">
        <f t="shared" si="24"/>
        <v>Present</v>
      </c>
      <c r="H778" t="str">
        <f t="shared" si="25"/>
        <v>IT</v>
      </c>
    </row>
    <row r="779" spans="1:8" x14ac:dyDescent="0.35">
      <c r="A779" s="2" t="s">
        <v>171</v>
      </c>
      <c r="B779" s="3">
        <v>46204</v>
      </c>
      <c r="C779" s="2" t="s">
        <v>30</v>
      </c>
      <c r="D779" s="2" t="s">
        <v>22</v>
      </c>
      <c r="E779" t="str">
        <f>IF(OR(A779="", B779=""), "Check missing data", IF(COUNTIFS($A$2:A779, A779, $B$2:B779, B779)&gt;1, "Possible Duplicate", "First Occurrence"))</f>
        <v>First Occurrence</v>
      </c>
      <c r="F779" t="str">
        <f t="shared" si="24"/>
        <v>On Leave</v>
      </c>
      <c r="H779" t="str">
        <f t="shared" si="25"/>
        <v>IT</v>
      </c>
    </row>
    <row r="780" spans="1:8" x14ac:dyDescent="0.35">
      <c r="A780" s="2" t="s">
        <v>171</v>
      </c>
      <c r="B780" s="3">
        <v>46268</v>
      </c>
      <c r="C780" s="2" t="s">
        <v>30</v>
      </c>
      <c r="D780" s="2" t="s">
        <v>22</v>
      </c>
      <c r="E780" t="str">
        <f>IF(OR(A780="", B780=""), "Check missing data", IF(COUNTIFS($A$2:A780, A780, $B$2:B780, B780)&gt;1, "Possible Duplicate", "First Occurrence"))</f>
        <v>First Occurrence</v>
      </c>
      <c r="F780" t="str">
        <f t="shared" si="24"/>
        <v>On Leave</v>
      </c>
      <c r="H780" t="str">
        <f t="shared" si="25"/>
        <v>IT</v>
      </c>
    </row>
    <row r="781" spans="1:8" x14ac:dyDescent="0.35">
      <c r="A781" s="2" t="s">
        <v>171</v>
      </c>
      <c r="B781" s="3">
        <v>46267</v>
      </c>
      <c r="C781" s="2" t="s">
        <v>246</v>
      </c>
      <c r="D781" s="2" t="s">
        <v>22</v>
      </c>
      <c r="E781" t="str">
        <f>IF(OR(A781="", B781=""), "Check missing data", IF(COUNTIFS($A$2:A781, A781, $B$2:B781, B781)&gt;1, "Possible Duplicate", "First Occurrence"))</f>
        <v>First Occurrence</v>
      </c>
      <c r="F781" t="str">
        <f t="shared" si="24"/>
        <v>Present</v>
      </c>
      <c r="H781" t="str">
        <f t="shared" si="25"/>
        <v>IT</v>
      </c>
    </row>
    <row r="782" spans="1:8" x14ac:dyDescent="0.35">
      <c r="A782" s="2" t="s">
        <v>173</v>
      </c>
      <c r="B782" s="3">
        <v>46280</v>
      </c>
      <c r="C782" s="2" t="s">
        <v>246</v>
      </c>
      <c r="D782" s="2" t="s">
        <v>41</v>
      </c>
      <c r="E782" t="str">
        <f>IF(OR(A782="", B782=""), "Check missing data", IF(COUNTIFS($A$2:A782, A782, $B$2:B782, B782)&gt;1, "Possible Duplicate", "First Occurrence"))</f>
        <v>First Occurrence</v>
      </c>
      <c r="F782" t="str">
        <f t="shared" si="24"/>
        <v>Present</v>
      </c>
      <c r="H782" t="str">
        <f t="shared" si="25"/>
        <v>Human Resources</v>
      </c>
    </row>
    <row r="783" spans="1:8" x14ac:dyDescent="0.35">
      <c r="A783" s="2" t="s">
        <v>173</v>
      </c>
      <c r="B783" s="3">
        <v>46216</v>
      </c>
      <c r="C783" s="2" t="s">
        <v>245</v>
      </c>
      <c r="D783" s="2" t="s">
        <v>41</v>
      </c>
      <c r="E783" t="str">
        <f>IF(OR(A783="", B783=""), "Check missing data", IF(COUNTIFS($A$2:A783, A783, $B$2:B783, B783)&gt;1, "Possible Duplicate", "First Occurrence"))</f>
        <v>First Occurrence</v>
      </c>
      <c r="F783" t="str">
        <f t="shared" si="24"/>
        <v>Absent</v>
      </c>
      <c r="H783" t="str">
        <f t="shared" si="25"/>
        <v>Human Resources</v>
      </c>
    </row>
    <row r="784" spans="1:8" x14ac:dyDescent="0.35">
      <c r="A784" s="2" t="s">
        <v>173</v>
      </c>
      <c r="B784" s="3">
        <v>46289</v>
      </c>
      <c r="C784" s="2" t="s">
        <v>246</v>
      </c>
      <c r="D784" s="2" t="s">
        <v>41</v>
      </c>
      <c r="E784" t="str">
        <f>IF(OR(A784="", B784=""), "Check missing data", IF(COUNTIFS($A$2:A784, A784, $B$2:B784, B784)&gt;1, "Possible Duplicate", "First Occurrence"))</f>
        <v>First Occurrence</v>
      </c>
      <c r="F784" t="str">
        <f t="shared" si="24"/>
        <v>Present</v>
      </c>
      <c r="H784" t="str">
        <f t="shared" si="25"/>
        <v>Human Resources</v>
      </c>
    </row>
    <row r="785" spans="1:8" x14ac:dyDescent="0.35">
      <c r="A785" s="2" t="s">
        <v>173</v>
      </c>
      <c r="B785" s="3">
        <v>46213</v>
      </c>
      <c r="C785" s="2" t="s">
        <v>246</v>
      </c>
      <c r="D785" s="2" t="s">
        <v>41</v>
      </c>
      <c r="E785" t="str">
        <f>IF(OR(A785="", B785=""), "Check missing data", IF(COUNTIFS($A$2:A785, A785, $B$2:B785, B785)&gt;1, "Possible Duplicate", "First Occurrence"))</f>
        <v>First Occurrence</v>
      </c>
      <c r="F785" t="str">
        <f t="shared" si="24"/>
        <v>Present</v>
      </c>
      <c r="H785" t="str">
        <f t="shared" si="25"/>
        <v>Human Resources</v>
      </c>
    </row>
    <row r="786" spans="1:8" x14ac:dyDescent="0.35">
      <c r="A786" s="2" t="s">
        <v>173</v>
      </c>
      <c r="B786" s="3">
        <v>46220</v>
      </c>
      <c r="C786" s="2" t="s">
        <v>247</v>
      </c>
      <c r="D786" s="2" t="s">
        <v>41</v>
      </c>
      <c r="E786" t="str">
        <f>IF(OR(A786="", B786=""), "Check missing data", IF(COUNTIFS($A$2:A786, A786, $B$2:B786, B786)&gt;1, "Possible Duplicate", "First Occurrence"))</f>
        <v>First Occurrence</v>
      </c>
      <c r="F786" t="str">
        <f t="shared" si="24"/>
        <v>Late</v>
      </c>
      <c r="H786" t="str">
        <f t="shared" si="25"/>
        <v>Human Resources</v>
      </c>
    </row>
    <row r="787" spans="1:8" x14ac:dyDescent="0.35">
      <c r="A787" s="2" t="s">
        <v>173</v>
      </c>
      <c r="B787" s="3">
        <v>46275</v>
      </c>
      <c r="C787" s="2" t="s">
        <v>247</v>
      </c>
      <c r="D787" s="2" t="s">
        <v>41</v>
      </c>
      <c r="E787" t="str">
        <f>IF(OR(A787="", B787=""), "Check missing data", IF(COUNTIFS($A$2:A787, A787, $B$2:B787, B787)&gt;1, "Possible Duplicate", "First Occurrence"))</f>
        <v>First Occurrence</v>
      </c>
      <c r="F787" t="str">
        <f t="shared" si="24"/>
        <v>Late</v>
      </c>
      <c r="H787" t="str">
        <f t="shared" si="25"/>
        <v>Human Resources</v>
      </c>
    </row>
    <row r="788" spans="1:8" x14ac:dyDescent="0.35">
      <c r="A788" s="2" t="s">
        <v>173</v>
      </c>
      <c r="B788" s="3">
        <v>46267</v>
      </c>
      <c r="C788" s="2" t="s">
        <v>246</v>
      </c>
      <c r="D788" s="2" t="s">
        <v>41</v>
      </c>
      <c r="E788" t="str">
        <f>IF(OR(A788="", B788=""), "Check missing data", IF(COUNTIFS($A$2:A788, A788, $B$2:B788, B788)&gt;1, "Possible Duplicate", "First Occurrence"))</f>
        <v>First Occurrence</v>
      </c>
      <c r="F788" t="str">
        <f t="shared" si="24"/>
        <v>Present</v>
      </c>
      <c r="H788" t="str">
        <f t="shared" si="25"/>
        <v>Human Resources</v>
      </c>
    </row>
    <row r="789" spans="1:8" x14ac:dyDescent="0.35">
      <c r="A789" s="2" t="s">
        <v>173</v>
      </c>
      <c r="B789" s="3">
        <v>46288</v>
      </c>
      <c r="C789" s="2" t="s">
        <v>247</v>
      </c>
      <c r="D789" s="2" t="s">
        <v>41</v>
      </c>
      <c r="E789" t="str">
        <f>IF(OR(A789="", B789=""), "Check missing data", IF(COUNTIFS($A$2:A789, A789, $B$2:B789, B789)&gt;1, "Possible Duplicate", "First Occurrence"))</f>
        <v>First Occurrence</v>
      </c>
      <c r="F789" t="str">
        <f t="shared" si="24"/>
        <v>Late</v>
      </c>
      <c r="H789" t="str">
        <f t="shared" si="25"/>
        <v>Human Resources</v>
      </c>
    </row>
    <row r="790" spans="1:8" x14ac:dyDescent="0.35">
      <c r="A790" s="2" t="s">
        <v>173</v>
      </c>
      <c r="B790" s="3">
        <v>46227</v>
      </c>
      <c r="C790" s="2" t="s">
        <v>247</v>
      </c>
      <c r="D790" s="2" t="s">
        <v>41</v>
      </c>
      <c r="E790" t="str">
        <f>IF(OR(A790="", B790=""), "Check missing data", IF(COUNTIFS($A$2:A790, A790, $B$2:B790, B790)&gt;1, "Possible Duplicate", "First Occurrence"))</f>
        <v>First Occurrence</v>
      </c>
      <c r="F790" t="str">
        <f t="shared" si="24"/>
        <v>Late</v>
      </c>
      <c r="H790" t="str">
        <f t="shared" si="25"/>
        <v>Human Resources</v>
      </c>
    </row>
    <row r="791" spans="1:8" x14ac:dyDescent="0.35">
      <c r="A791" s="2" t="s">
        <v>173</v>
      </c>
      <c r="B791" s="3">
        <v>46253</v>
      </c>
      <c r="C791" s="2" t="s">
        <v>247</v>
      </c>
      <c r="D791" s="2" t="s">
        <v>41</v>
      </c>
      <c r="E791" t="str">
        <f>IF(OR(A791="", B791=""), "Check missing data", IF(COUNTIFS($A$2:A791, A791, $B$2:B791, B791)&gt;1, "Possible Duplicate", "First Occurrence"))</f>
        <v>First Occurrence</v>
      </c>
      <c r="F791" t="str">
        <f t="shared" si="24"/>
        <v>Late</v>
      </c>
      <c r="H791" t="str">
        <f t="shared" si="25"/>
        <v>Human Resources</v>
      </c>
    </row>
    <row r="792" spans="1:8" x14ac:dyDescent="0.35">
      <c r="A792" s="2" t="s">
        <v>173</v>
      </c>
      <c r="B792" s="3">
        <v>46281</v>
      </c>
      <c r="C792" s="2" t="s">
        <v>246</v>
      </c>
      <c r="D792" s="2" t="s">
        <v>41</v>
      </c>
      <c r="E792" t="str">
        <f>IF(OR(A792="", B792=""), "Check missing data", IF(COUNTIFS($A$2:A792, A792, $B$2:B792, B792)&gt;1, "Possible Duplicate", "First Occurrence"))</f>
        <v>First Occurrence</v>
      </c>
      <c r="F792" t="str">
        <f t="shared" si="24"/>
        <v>Present</v>
      </c>
      <c r="H792" t="str">
        <f t="shared" si="25"/>
        <v>Human Resources</v>
      </c>
    </row>
    <row r="793" spans="1:8" x14ac:dyDescent="0.35">
      <c r="A793" s="2" t="s">
        <v>173</v>
      </c>
      <c r="B793" s="3">
        <v>46290</v>
      </c>
      <c r="C793" s="2" t="s">
        <v>247</v>
      </c>
      <c r="D793" s="2" t="s">
        <v>41</v>
      </c>
      <c r="E793" t="str">
        <f>IF(OR(A793="", B793=""), "Check missing data", IF(COUNTIFS($A$2:A793, A793, $B$2:B793, B793)&gt;1, "Possible Duplicate", "First Occurrence"))</f>
        <v>First Occurrence</v>
      </c>
      <c r="F793" t="str">
        <f t="shared" si="24"/>
        <v>Late</v>
      </c>
      <c r="H793" t="str">
        <f t="shared" si="25"/>
        <v>Human Resources</v>
      </c>
    </row>
    <row r="794" spans="1:8" x14ac:dyDescent="0.35">
      <c r="A794" s="2" t="s">
        <v>175</v>
      </c>
      <c r="B794" s="3">
        <v>46212</v>
      </c>
      <c r="C794" s="2" t="s">
        <v>246</v>
      </c>
      <c r="D794" s="2" t="s">
        <v>37</v>
      </c>
      <c r="E794" t="str">
        <f>IF(OR(A794="", B794=""), "Check missing data", IF(COUNTIFS($A$2:A794, A794, $B$2:B794, B794)&gt;1, "Possible Duplicate", "First Occurrence"))</f>
        <v>First Occurrence</v>
      </c>
      <c r="F794" t="str">
        <f t="shared" si="24"/>
        <v>Present</v>
      </c>
      <c r="H794" t="str">
        <f t="shared" si="25"/>
        <v>Customer Support</v>
      </c>
    </row>
    <row r="795" spans="1:8" x14ac:dyDescent="0.35">
      <c r="A795" s="2" t="s">
        <v>175</v>
      </c>
      <c r="B795" s="3">
        <v>46217</v>
      </c>
      <c r="C795" s="2" t="s">
        <v>246</v>
      </c>
      <c r="D795" s="2" t="s">
        <v>37</v>
      </c>
      <c r="E795" t="str">
        <f>IF(OR(A795="", B795=""), "Check missing data", IF(COUNTIFS($A$2:A795, A795, $B$2:B795, B795)&gt;1, "Possible Duplicate", "First Occurrence"))</f>
        <v>First Occurrence</v>
      </c>
      <c r="F795" t="str">
        <f t="shared" si="24"/>
        <v>Present</v>
      </c>
      <c r="H795" t="str">
        <f t="shared" si="25"/>
        <v>Customer Support</v>
      </c>
    </row>
    <row r="796" spans="1:8" x14ac:dyDescent="0.35">
      <c r="A796" s="2" t="s">
        <v>175</v>
      </c>
      <c r="B796" s="3">
        <v>46261</v>
      </c>
      <c r="C796" s="2" t="s">
        <v>246</v>
      </c>
      <c r="D796" s="2" t="s">
        <v>37</v>
      </c>
      <c r="E796" t="str">
        <f>IF(OR(A796="", B796=""), "Check missing data", IF(COUNTIFS($A$2:A796, A796, $B$2:B796, B796)&gt;1, "Possible Duplicate", "First Occurrence"))</f>
        <v>First Occurrence</v>
      </c>
      <c r="F796" t="str">
        <f t="shared" si="24"/>
        <v>Present</v>
      </c>
      <c r="H796" t="str">
        <f t="shared" si="25"/>
        <v>Customer Support</v>
      </c>
    </row>
    <row r="797" spans="1:8" x14ac:dyDescent="0.35">
      <c r="A797" s="2" t="s">
        <v>175</v>
      </c>
      <c r="B797" s="3">
        <v>46294</v>
      </c>
      <c r="C797" s="2" t="s">
        <v>247</v>
      </c>
      <c r="D797" s="2" t="s">
        <v>37</v>
      </c>
      <c r="E797" t="str">
        <f>IF(OR(A797="", B797=""), "Check missing data", IF(COUNTIFS($A$2:A797, A797, $B$2:B797, B797)&gt;1, "Possible Duplicate", "First Occurrence"))</f>
        <v>First Occurrence</v>
      </c>
      <c r="F797" t="str">
        <f t="shared" si="24"/>
        <v>Late</v>
      </c>
      <c r="H797" t="str">
        <f t="shared" si="25"/>
        <v>Customer Support</v>
      </c>
    </row>
    <row r="798" spans="1:8" x14ac:dyDescent="0.35">
      <c r="A798" s="2" t="s">
        <v>175</v>
      </c>
      <c r="B798" s="3">
        <v>46272</v>
      </c>
      <c r="C798" s="2" t="s">
        <v>246</v>
      </c>
      <c r="D798" s="2" t="s">
        <v>37</v>
      </c>
      <c r="E798" t="str">
        <f>IF(OR(A798="", B798=""), "Check missing data", IF(COUNTIFS($A$2:A798, A798, $B$2:B798, B798)&gt;1, "Possible Duplicate", "First Occurrence"))</f>
        <v>First Occurrence</v>
      </c>
      <c r="F798" t="str">
        <f t="shared" si="24"/>
        <v>Present</v>
      </c>
      <c r="H798" t="str">
        <f t="shared" si="25"/>
        <v>Customer Support</v>
      </c>
    </row>
    <row r="799" spans="1:8" x14ac:dyDescent="0.35">
      <c r="A799" s="2" t="s">
        <v>175</v>
      </c>
      <c r="B799" s="3">
        <v>46209</v>
      </c>
      <c r="C799" s="2" t="s">
        <v>245</v>
      </c>
      <c r="D799" s="2" t="s">
        <v>37</v>
      </c>
      <c r="E799" t="str">
        <f>IF(OR(A799="", B799=""), "Check missing data", IF(COUNTIFS($A$2:A799, A799, $B$2:B799, B799)&gt;1, "Possible Duplicate", "First Occurrence"))</f>
        <v>First Occurrence</v>
      </c>
      <c r="F799" t="str">
        <f t="shared" si="24"/>
        <v>Absent</v>
      </c>
      <c r="H799" t="str">
        <f t="shared" si="25"/>
        <v>Customer Support</v>
      </c>
    </row>
    <row r="800" spans="1:8" x14ac:dyDescent="0.35">
      <c r="A800" s="2" t="s">
        <v>175</v>
      </c>
      <c r="B800" s="3">
        <v>46240</v>
      </c>
      <c r="C800" s="2" t="s">
        <v>30</v>
      </c>
      <c r="D800" s="2" t="s">
        <v>37</v>
      </c>
      <c r="E800" t="str">
        <f>IF(OR(A800="", B800=""), "Check missing data", IF(COUNTIFS($A$2:A800, A800, $B$2:B800, B800)&gt;1, "Possible Duplicate", "First Occurrence"))</f>
        <v>First Occurrence</v>
      </c>
      <c r="F800" t="str">
        <f t="shared" si="24"/>
        <v>On Leave</v>
      </c>
      <c r="H800" t="str">
        <f t="shared" si="25"/>
        <v>Customer Support</v>
      </c>
    </row>
    <row r="801" spans="1:8" x14ac:dyDescent="0.35">
      <c r="A801" s="2" t="s">
        <v>175</v>
      </c>
      <c r="B801" s="3">
        <v>46231</v>
      </c>
      <c r="C801" s="2" t="s">
        <v>30</v>
      </c>
      <c r="D801" s="2" t="s">
        <v>37</v>
      </c>
      <c r="E801" t="str">
        <f>IF(OR(A801="", B801=""), "Check missing data", IF(COUNTIFS($A$2:A801, A801, $B$2:B801, B801)&gt;1, "Possible Duplicate", "First Occurrence"))</f>
        <v>First Occurrence</v>
      </c>
      <c r="F801" t="str">
        <f t="shared" si="24"/>
        <v>On Leave</v>
      </c>
      <c r="H801" t="str">
        <f t="shared" si="25"/>
        <v>Customer Support</v>
      </c>
    </row>
    <row r="802" spans="1:8" x14ac:dyDescent="0.35">
      <c r="A802" s="2" t="s">
        <v>175</v>
      </c>
      <c r="B802" s="3">
        <v>46210</v>
      </c>
      <c r="C802" s="2" t="s">
        <v>246</v>
      </c>
      <c r="D802" s="2" t="s">
        <v>37</v>
      </c>
      <c r="E802" t="str">
        <f>IF(OR(A802="", B802=""), "Check missing data", IF(COUNTIFS($A$2:A802, A802, $B$2:B802, B802)&gt;1, "Possible Duplicate", "First Occurrence"))</f>
        <v>First Occurrence</v>
      </c>
      <c r="F802" t="str">
        <f t="shared" si="24"/>
        <v>Present</v>
      </c>
      <c r="H802" t="str">
        <f t="shared" si="25"/>
        <v>Customer Support</v>
      </c>
    </row>
    <row r="803" spans="1:8" x14ac:dyDescent="0.35">
      <c r="A803" s="2" t="s">
        <v>175</v>
      </c>
      <c r="B803" s="3">
        <v>46269</v>
      </c>
      <c r="C803" s="2" t="s">
        <v>246</v>
      </c>
      <c r="D803" s="2" t="s">
        <v>37</v>
      </c>
      <c r="E803" t="str">
        <f>IF(OR(A803="", B803=""), "Check missing data", IF(COUNTIFS($A$2:A803, A803, $B$2:B803, B803)&gt;1, "Possible Duplicate", "First Occurrence"))</f>
        <v>First Occurrence</v>
      </c>
      <c r="F803" t="str">
        <f t="shared" si="24"/>
        <v>Present</v>
      </c>
      <c r="H803" t="str">
        <f t="shared" si="25"/>
        <v>Customer Support</v>
      </c>
    </row>
    <row r="804" spans="1:8" x14ac:dyDescent="0.35">
      <c r="A804" s="2" t="s">
        <v>175</v>
      </c>
      <c r="B804" s="3">
        <v>46295</v>
      </c>
      <c r="C804" s="2" t="s">
        <v>246</v>
      </c>
      <c r="D804" s="2" t="s">
        <v>37</v>
      </c>
      <c r="E804" t="str">
        <f>IF(OR(A804="", B804=""), "Check missing data", IF(COUNTIFS($A$2:A804, A804, $B$2:B804, B804)&gt;1, "Possible Duplicate", "First Occurrence"))</f>
        <v>First Occurrence</v>
      </c>
      <c r="F804" t="str">
        <f t="shared" si="24"/>
        <v>Present</v>
      </c>
      <c r="H804" t="str">
        <f t="shared" si="25"/>
        <v>Customer Support</v>
      </c>
    </row>
    <row r="805" spans="1:8" x14ac:dyDescent="0.35">
      <c r="A805" s="2" t="s">
        <v>175</v>
      </c>
      <c r="B805" s="3">
        <v>46230</v>
      </c>
      <c r="C805" s="2" t="s">
        <v>245</v>
      </c>
      <c r="D805" s="2" t="s">
        <v>37</v>
      </c>
      <c r="E805" t="str">
        <f>IF(OR(A805="", B805=""), "Check missing data", IF(COUNTIFS($A$2:A805, A805, $B$2:B805, B805)&gt;1, "Possible Duplicate", "First Occurrence"))</f>
        <v>First Occurrence</v>
      </c>
      <c r="F805" t="str">
        <f t="shared" si="24"/>
        <v>Absent</v>
      </c>
      <c r="H805" t="str">
        <f t="shared" si="25"/>
        <v>Customer Support</v>
      </c>
    </row>
    <row r="806" spans="1:8" x14ac:dyDescent="0.35">
      <c r="A806" s="2" t="s">
        <v>177</v>
      </c>
      <c r="B806" s="3">
        <v>46260</v>
      </c>
      <c r="C806" s="2" t="s">
        <v>247</v>
      </c>
      <c r="D806" s="2" t="s">
        <v>22</v>
      </c>
      <c r="E806" t="str">
        <f>IF(OR(A806="", B806=""), "Check missing data", IF(COUNTIFS($A$2:A806, A806, $B$2:B806, B806)&gt;1, "Possible Duplicate", "First Occurrence"))</f>
        <v>First Occurrence</v>
      </c>
      <c r="F806" t="str">
        <f t="shared" si="24"/>
        <v>Late</v>
      </c>
      <c r="H806" t="str">
        <f t="shared" si="25"/>
        <v>IT</v>
      </c>
    </row>
    <row r="807" spans="1:8" x14ac:dyDescent="0.35">
      <c r="A807" s="2" t="s">
        <v>177</v>
      </c>
      <c r="B807" s="3">
        <v>46217</v>
      </c>
      <c r="C807" s="2" t="s">
        <v>247</v>
      </c>
      <c r="D807" s="2" t="s">
        <v>22</v>
      </c>
      <c r="E807" t="str">
        <f>IF(OR(A807="", B807=""), "Check missing data", IF(COUNTIFS($A$2:A807, A807, $B$2:B807, B807)&gt;1, "Possible Duplicate", "First Occurrence"))</f>
        <v>First Occurrence</v>
      </c>
      <c r="F807" t="str">
        <f t="shared" si="24"/>
        <v>Late</v>
      </c>
      <c r="H807" t="str">
        <f t="shared" si="25"/>
        <v>IT</v>
      </c>
    </row>
    <row r="808" spans="1:8" x14ac:dyDescent="0.35">
      <c r="A808" s="2" t="s">
        <v>177</v>
      </c>
      <c r="B808" s="3">
        <v>46246</v>
      </c>
      <c r="C808" s="2" t="s">
        <v>247</v>
      </c>
      <c r="D808" s="2" t="s">
        <v>22</v>
      </c>
      <c r="E808" t="str">
        <f>IF(OR(A808="", B808=""), "Check missing data", IF(COUNTIFS($A$2:A808, A808, $B$2:B808, B808)&gt;1, "Possible Duplicate", "First Occurrence"))</f>
        <v>First Occurrence</v>
      </c>
      <c r="F808" t="str">
        <f t="shared" si="24"/>
        <v>Late</v>
      </c>
      <c r="H808" t="str">
        <f t="shared" si="25"/>
        <v>IT</v>
      </c>
    </row>
    <row r="809" spans="1:8" x14ac:dyDescent="0.35">
      <c r="A809" s="2" t="s">
        <v>177</v>
      </c>
      <c r="B809" s="3">
        <v>46210</v>
      </c>
      <c r="C809" s="2" t="s">
        <v>245</v>
      </c>
      <c r="D809" s="2" t="s">
        <v>22</v>
      </c>
      <c r="E809" t="str">
        <f>IF(OR(A809="", B809=""), "Check missing data", IF(COUNTIFS($A$2:A809, A809, $B$2:B809, B809)&gt;1, "Possible Duplicate", "First Occurrence"))</f>
        <v>First Occurrence</v>
      </c>
      <c r="F809" t="str">
        <f t="shared" si="24"/>
        <v>Absent</v>
      </c>
      <c r="H809" t="str">
        <f t="shared" si="25"/>
        <v>IT</v>
      </c>
    </row>
    <row r="810" spans="1:8" x14ac:dyDescent="0.35">
      <c r="A810" s="2" t="s">
        <v>177</v>
      </c>
      <c r="B810" s="3">
        <v>46273</v>
      </c>
      <c r="C810" s="2" t="s">
        <v>246</v>
      </c>
      <c r="D810" s="2" t="s">
        <v>22</v>
      </c>
      <c r="E810" t="str">
        <f>IF(OR(A810="", B810=""), "Check missing data", IF(COUNTIFS($A$2:A810, A810, $B$2:B810, B810)&gt;1, "Possible Duplicate", "First Occurrence"))</f>
        <v>First Occurrence</v>
      </c>
      <c r="F810" t="str">
        <f t="shared" si="24"/>
        <v>Present</v>
      </c>
      <c r="H810" t="str">
        <f t="shared" si="25"/>
        <v>IT</v>
      </c>
    </row>
    <row r="811" spans="1:8" x14ac:dyDescent="0.35">
      <c r="A811" s="2" t="s">
        <v>177</v>
      </c>
      <c r="B811" s="3">
        <v>46255</v>
      </c>
      <c r="C811" s="2" t="s">
        <v>246</v>
      </c>
      <c r="D811" s="2" t="s">
        <v>22</v>
      </c>
      <c r="E811" t="str">
        <f>IF(OR(A811="", B811=""), "Check missing data", IF(COUNTIFS($A$2:A811, A811, $B$2:B811, B811)&gt;1, "Possible Duplicate", "First Occurrence"))</f>
        <v>First Occurrence</v>
      </c>
      <c r="F811" t="str">
        <f t="shared" si="24"/>
        <v>Present</v>
      </c>
      <c r="H811" t="str">
        <f t="shared" si="25"/>
        <v>IT</v>
      </c>
    </row>
    <row r="812" spans="1:8" x14ac:dyDescent="0.35">
      <c r="A812" s="2" t="s">
        <v>177</v>
      </c>
      <c r="B812" s="3">
        <v>46274</v>
      </c>
      <c r="C812" s="2" t="s">
        <v>30</v>
      </c>
      <c r="D812" s="2" t="s">
        <v>22</v>
      </c>
      <c r="E812" t="str">
        <f>IF(OR(A812="", B812=""), "Check missing data", IF(COUNTIFS($A$2:A812, A812, $B$2:B812, B812)&gt;1, "Possible Duplicate", "First Occurrence"))</f>
        <v>First Occurrence</v>
      </c>
      <c r="F812" t="str">
        <f t="shared" si="24"/>
        <v>On Leave</v>
      </c>
      <c r="H812" t="str">
        <f t="shared" si="25"/>
        <v>IT</v>
      </c>
    </row>
    <row r="813" spans="1:8" x14ac:dyDescent="0.35">
      <c r="A813" s="2" t="s">
        <v>177</v>
      </c>
      <c r="B813" s="3">
        <v>46219</v>
      </c>
      <c r="C813" s="2" t="s">
        <v>247</v>
      </c>
      <c r="D813" s="2" t="s">
        <v>22</v>
      </c>
      <c r="E813" t="str">
        <f>IF(OR(A813="", B813=""), "Check missing data", IF(COUNTIFS($A$2:A813, A813, $B$2:B813, B813)&gt;1, "Possible Duplicate", "First Occurrence"))</f>
        <v>First Occurrence</v>
      </c>
      <c r="F813" t="str">
        <f t="shared" si="24"/>
        <v>Late</v>
      </c>
      <c r="H813" t="str">
        <f t="shared" si="25"/>
        <v>IT</v>
      </c>
    </row>
    <row r="814" spans="1:8" x14ac:dyDescent="0.35">
      <c r="A814" s="2" t="s">
        <v>177</v>
      </c>
      <c r="B814" s="3">
        <v>46227</v>
      </c>
      <c r="C814" s="2" t="s">
        <v>247</v>
      </c>
      <c r="D814" s="2" t="s">
        <v>22</v>
      </c>
      <c r="E814" t="str">
        <f>IF(OR(A814="", B814=""), "Check missing data", IF(COUNTIFS($A$2:A814, A814, $B$2:B814, B814)&gt;1, "Possible Duplicate", "First Occurrence"))</f>
        <v>First Occurrence</v>
      </c>
      <c r="F814" t="str">
        <f t="shared" si="24"/>
        <v>Late</v>
      </c>
      <c r="H814" t="str">
        <f t="shared" si="25"/>
        <v>IT</v>
      </c>
    </row>
    <row r="815" spans="1:8" x14ac:dyDescent="0.35">
      <c r="A815" s="2" t="s">
        <v>177</v>
      </c>
      <c r="B815" s="3">
        <v>46244</v>
      </c>
      <c r="C815" s="2" t="s">
        <v>30</v>
      </c>
      <c r="D815" s="2" t="s">
        <v>22</v>
      </c>
      <c r="E815" t="str">
        <f>IF(OR(A815="", B815=""), "Check missing data", IF(COUNTIFS($A$2:A815, A815, $B$2:B815, B815)&gt;1, "Possible Duplicate", "First Occurrence"))</f>
        <v>First Occurrence</v>
      </c>
      <c r="F815" t="str">
        <f t="shared" si="24"/>
        <v>On Leave</v>
      </c>
      <c r="H815" t="str">
        <f t="shared" si="25"/>
        <v>IT</v>
      </c>
    </row>
    <row r="816" spans="1:8" x14ac:dyDescent="0.35">
      <c r="A816" s="2" t="s">
        <v>177</v>
      </c>
      <c r="B816" s="3">
        <v>46234</v>
      </c>
      <c r="C816" s="2" t="s">
        <v>30</v>
      </c>
      <c r="D816" s="2" t="s">
        <v>22</v>
      </c>
      <c r="E816" t="str">
        <f>IF(OR(A816="", B816=""), "Check missing data", IF(COUNTIFS($A$2:A816, A816, $B$2:B816, B816)&gt;1, "Possible Duplicate", "First Occurrence"))</f>
        <v>First Occurrence</v>
      </c>
      <c r="F816" t="str">
        <f t="shared" si="24"/>
        <v>On Leave</v>
      </c>
      <c r="H816" t="str">
        <f t="shared" si="25"/>
        <v>IT</v>
      </c>
    </row>
    <row r="817" spans="1:8" x14ac:dyDescent="0.35">
      <c r="A817" s="2" t="s">
        <v>177</v>
      </c>
      <c r="B817" s="3">
        <v>46266</v>
      </c>
      <c r="C817" s="2" t="s">
        <v>246</v>
      </c>
      <c r="D817" s="2" t="s">
        <v>22</v>
      </c>
      <c r="E817" t="str">
        <f>IF(OR(A817="", B817=""), "Check missing data", IF(COUNTIFS($A$2:A817, A817, $B$2:B817, B817)&gt;1, "Possible Duplicate", "First Occurrence"))</f>
        <v>First Occurrence</v>
      </c>
      <c r="F817" t="str">
        <f t="shared" si="24"/>
        <v>Present</v>
      </c>
      <c r="H817" t="str">
        <f t="shared" si="25"/>
        <v>IT</v>
      </c>
    </row>
    <row r="818" spans="1:8" x14ac:dyDescent="0.35">
      <c r="A818" s="2" t="s">
        <v>179</v>
      </c>
      <c r="B818" s="3">
        <v>46253</v>
      </c>
      <c r="C818" s="2" t="s">
        <v>246</v>
      </c>
      <c r="D818" s="2" t="s">
        <v>11</v>
      </c>
      <c r="E818" t="str">
        <f>IF(OR(A818="", B818=""), "Check missing data", IF(COUNTIFS($A$2:A818, A818, $B$2:B818, B818)&gt;1, "Possible Duplicate", "First Occurrence"))</f>
        <v>First Occurrence</v>
      </c>
      <c r="F818" t="str">
        <f t="shared" si="24"/>
        <v>Present</v>
      </c>
      <c r="H818" t="str">
        <f t="shared" si="25"/>
        <v>Operations</v>
      </c>
    </row>
    <row r="819" spans="1:8" x14ac:dyDescent="0.35">
      <c r="A819" s="2" t="s">
        <v>179</v>
      </c>
      <c r="B819" s="3">
        <v>46246</v>
      </c>
      <c r="C819" s="2" t="s">
        <v>30</v>
      </c>
      <c r="D819" s="2" t="s">
        <v>11</v>
      </c>
      <c r="E819" t="str">
        <f>IF(OR(A819="", B819=""), "Check missing data", IF(COUNTIFS($A$2:A819, A819, $B$2:B819, B819)&gt;1, "Possible Duplicate", "First Occurrence"))</f>
        <v>First Occurrence</v>
      </c>
      <c r="F819" t="str">
        <f t="shared" si="24"/>
        <v>On Leave</v>
      </c>
      <c r="H819" t="str">
        <f t="shared" si="25"/>
        <v>Operations</v>
      </c>
    </row>
    <row r="820" spans="1:8" x14ac:dyDescent="0.35">
      <c r="A820" s="2" t="s">
        <v>179</v>
      </c>
      <c r="B820" s="3">
        <v>46213</v>
      </c>
      <c r="C820" s="2" t="s">
        <v>246</v>
      </c>
      <c r="D820" s="2" t="s">
        <v>11</v>
      </c>
      <c r="E820" t="str">
        <f>IF(OR(A820="", B820=""), "Check missing data", IF(COUNTIFS($A$2:A820, A820, $B$2:B820, B820)&gt;1, "Possible Duplicate", "First Occurrence"))</f>
        <v>First Occurrence</v>
      </c>
      <c r="F820" t="str">
        <f t="shared" si="24"/>
        <v>Present</v>
      </c>
      <c r="H820" t="str">
        <f t="shared" si="25"/>
        <v>Operations</v>
      </c>
    </row>
    <row r="821" spans="1:8" x14ac:dyDescent="0.35">
      <c r="A821" s="2" t="s">
        <v>179</v>
      </c>
      <c r="B821" s="3">
        <v>46287</v>
      </c>
      <c r="C821" s="2" t="s">
        <v>30</v>
      </c>
      <c r="D821" s="2" t="s">
        <v>11</v>
      </c>
      <c r="E821" t="str">
        <f>IF(OR(A821="", B821=""), "Check missing data", IF(COUNTIFS($A$2:A821, A821, $B$2:B821, B821)&gt;1, "Possible Duplicate", "First Occurrence"))</f>
        <v>First Occurrence</v>
      </c>
      <c r="F821" t="str">
        <f t="shared" si="24"/>
        <v>On Leave</v>
      </c>
      <c r="H821" t="str">
        <f t="shared" si="25"/>
        <v>Operations</v>
      </c>
    </row>
    <row r="822" spans="1:8" x14ac:dyDescent="0.35">
      <c r="A822" s="2" t="s">
        <v>179</v>
      </c>
      <c r="B822" s="3">
        <v>46232</v>
      </c>
      <c r="C822" s="2" t="s">
        <v>246</v>
      </c>
      <c r="D822" s="2" t="s">
        <v>11</v>
      </c>
      <c r="E822" t="str">
        <f>IF(OR(A822="", B822=""), "Check missing data", IF(COUNTIFS($A$2:A822, A822, $B$2:B822, B822)&gt;1, "Possible Duplicate", "First Occurrence"))</f>
        <v>First Occurrence</v>
      </c>
      <c r="F822" t="str">
        <f t="shared" si="24"/>
        <v>Present</v>
      </c>
      <c r="H822" t="str">
        <f t="shared" si="25"/>
        <v>Operations</v>
      </c>
    </row>
    <row r="823" spans="1:8" x14ac:dyDescent="0.35">
      <c r="A823" s="2" t="s">
        <v>179</v>
      </c>
      <c r="B823" s="3">
        <v>46244</v>
      </c>
      <c r="C823" s="2" t="s">
        <v>246</v>
      </c>
      <c r="D823" s="2" t="s">
        <v>11</v>
      </c>
      <c r="E823" t="str">
        <f>IF(OR(A823="", B823=""), "Check missing data", IF(COUNTIFS($A$2:A823, A823, $B$2:B823, B823)&gt;1, "Possible Duplicate", "First Occurrence"))</f>
        <v>First Occurrence</v>
      </c>
      <c r="F823" t="str">
        <f t="shared" si="24"/>
        <v>Present</v>
      </c>
      <c r="H823" t="str">
        <f t="shared" si="25"/>
        <v>Operations</v>
      </c>
    </row>
    <row r="824" spans="1:8" x14ac:dyDescent="0.35">
      <c r="A824" s="2" t="s">
        <v>179</v>
      </c>
      <c r="B824" s="3">
        <v>46205</v>
      </c>
      <c r="C824" s="2" t="s">
        <v>30</v>
      </c>
      <c r="D824" s="2" t="s">
        <v>11</v>
      </c>
      <c r="E824" t="str">
        <f>IF(OR(A824="", B824=""), "Check missing data", IF(COUNTIFS($A$2:A824, A824, $B$2:B824, B824)&gt;1, "Possible Duplicate", "First Occurrence"))</f>
        <v>First Occurrence</v>
      </c>
      <c r="F824" t="str">
        <f t="shared" si="24"/>
        <v>On Leave</v>
      </c>
      <c r="H824" t="str">
        <f t="shared" si="25"/>
        <v>Operations</v>
      </c>
    </row>
    <row r="825" spans="1:8" x14ac:dyDescent="0.35">
      <c r="A825" s="2" t="s">
        <v>179</v>
      </c>
      <c r="B825" s="3">
        <v>46241</v>
      </c>
      <c r="C825" s="2" t="s">
        <v>246</v>
      </c>
      <c r="D825" s="2" t="s">
        <v>11</v>
      </c>
      <c r="E825" t="str">
        <f>IF(OR(A825="", B825=""), "Check missing data", IF(COUNTIFS($A$2:A825, A825, $B$2:B825, B825)&gt;1, "Possible Duplicate", "First Occurrence"))</f>
        <v>First Occurrence</v>
      </c>
      <c r="F825" t="str">
        <f t="shared" si="24"/>
        <v>Present</v>
      </c>
      <c r="H825" t="str">
        <f t="shared" si="25"/>
        <v>Operations</v>
      </c>
    </row>
    <row r="826" spans="1:8" x14ac:dyDescent="0.35">
      <c r="A826" s="2" t="s">
        <v>179</v>
      </c>
      <c r="B826" s="3">
        <v>46286</v>
      </c>
      <c r="C826" s="2" t="s">
        <v>245</v>
      </c>
      <c r="D826" s="2" t="s">
        <v>11</v>
      </c>
      <c r="E826" t="str">
        <f>IF(OR(A826="", B826=""), "Check missing data", IF(COUNTIFS($A$2:A826, A826, $B$2:B826, B826)&gt;1, "Possible Duplicate", "First Occurrence"))</f>
        <v>First Occurrence</v>
      </c>
      <c r="F826" t="str">
        <f t="shared" si="24"/>
        <v>Absent</v>
      </c>
      <c r="H826" t="str">
        <f t="shared" si="25"/>
        <v>Operations</v>
      </c>
    </row>
    <row r="827" spans="1:8" x14ac:dyDescent="0.35">
      <c r="A827" s="2" t="s">
        <v>179</v>
      </c>
      <c r="B827" s="3">
        <v>46245</v>
      </c>
      <c r="C827" s="2" t="s">
        <v>246</v>
      </c>
      <c r="D827" s="2" t="s">
        <v>11</v>
      </c>
      <c r="E827" t="str">
        <f>IF(OR(A827="", B827=""), "Check missing data", IF(COUNTIFS($A$2:A827, A827, $B$2:B827, B827)&gt;1, "Possible Duplicate", "First Occurrence"))</f>
        <v>First Occurrence</v>
      </c>
      <c r="F827" t="str">
        <f t="shared" si="24"/>
        <v>Present</v>
      </c>
      <c r="H827" t="str">
        <f t="shared" si="25"/>
        <v>Operations</v>
      </c>
    </row>
    <row r="828" spans="1:8" x14ac:dyDescent="0.35">
      <c r="A828" s="2" t="s">
        <v>179</v>
      </c>
      <c r="B828" s="3">
        <v>46268</v>
      </c>
      <c r="C828" s="2" t="s">
        <v>246</v>
      </c>
      <c r="D828" s="2" t="s">
        <v>11</v>
      </c>
      <c r="E828" t="str">
        <f>IF(OR(A828="", B828=""), "Check missing data", IF(COUNTIFS($A$2:A828, A828, $B$2:B828, B828)&gt;1, "Possible Duplicate", "First Occurrence"))</f>
        <v>First Occurrence</v>
      </c>
      <c r="F828" t="str">
        <f t="shared" si="24"/>
        <v>Present</v>
      </c>
      <c r="H828" t="str">
        <f t="shared" si="25"/>
        <v>Operations</v>
      </c>
    </row>
    <row r="829" spans="1:8" x14ac:dyDescent="0.35">
      <c r="A829" s="2" t="s">
        <v>179</v>
      </c>
      <c r="B829" s="3">
        <v>46258</v>
      </c>
      <c r="C829" s="2" t="s">
        <v>246</v>
      </c>
      <c r="D829" s="2" t="s">
        <v>11</v>
      </c>
      <c r="E829" t="str">
        <f>IF(OR(A829="", B829=""), "Check missing data", IF(COUNTIFS($A$2:A829, A829, $B$2:B829, B829)&gt;1, "Possible Duplicate", "First Occurrence"))</f>
        <v>First Occurrence</v>
      </c>
      <c r="F829" t="str">
        <f t="shared" si="24"/>
        <v>Present</v>
      </c>
      <c r="H829" t="str">
        <f t="shared" si="25"/>
        <v>Operations</v>
      </c>
    </row>
    <row r="830" spans="1:8" x14ac:dyDescent="0.35">
      <c r="A830" s="2" t="s">
        <v>181</v>
      </c>
      <c r="B830" s="3">
        <v>46255</v>
      </c>
      <c r="C830" s="2" t="s">
        <v>245</v>
      </c>
      <c r="D830" s="2" t="s">
        <v>41</v>
      </c>
      <c r="E830" t="str">
        <f>IF(OR(A830="", B830=""), "Check missing data", IF(COUNTIFS($A$2:A830, A830, $B$2:B830, B830)&gt;1, "Possible Duplicate", "First Occurrence"))</f>
        <v>First Occurrence</v>
      </c>
      <c r="F830" t="str">
        <f t="shared" si="24"/>
        <v>Absent</v>
      </c>
      <c r="H830" t="str">
        <f t="shared" si="25"/>
        <v>Human Resources</v>
      </c>
    </row>
    <row r="831" spans="1:8" x14ac:dyDescent="0.35">
      <c r="A831" s="2" t="s">
        <v>181</v>
      </c>
      <c r="B831" s="3">
        <v>46206</v>
      </c>
      <c r="C831" s="2" t="s">
        <v>30</v>
      </c>
      <c r="D831" s="2" t="s">
        <v>41</v>
      </c>
      <c r="E831" t="str">
        <f>IF(OR(A831="", B831=""), "Check missing data", IF(COUNTIFS($A$2:A831, A831, $B$2:B831, B831)&gt;1, "Possible Duplicate", "First Occurrence"))</f>
        <v>First Occurrence</v>
      </c>
      <c r="F831" t="str">
        <f t="shared" si="24"/>
        <v>On Leave</v>
      </c>
      <c r="H831" t="str">
        <f t="shared" si="25"/>
        <v>Human Resources</v>
      </c>
    </row>
    <row r="832" spans="1:8" x14ac:dyDescent="0.35">
      <c r="A832" s="2" t="s">
        <v>181</v>
      </c>
      <c r="B832" s="3">
        <v>46245</v>
      </c>
      <c r="C832" s="2" t="s">
        <v>245</v>
      </c>
      <c r="D832" s="2" t="s">
        <v>41</v>
      </c>
      <c r="E832" t="str">
        <f>IF(OR(A832="", B832=""), "Check missing data", IF(COUNTIFS($A$2:A832, A832, $B$2:B832, B832)&gt;1, "Possible Duplicate", "First Occurrence"))</f>
        <v>First Occurrence</v>
      </c>
      <c r="F832" t="str">
        <f t="shared" si="24"/>
        <v>Absent</v>
      </c>
      <c r="H832" t="str">
        <f t="shared" si="25"/>
        <v>Human Resources</v>
      </c>
    </row>
    <row r="833" spans="1:8" x14ac:dyDescent="0.35">
      <c r="A833" s="2" t="s">
        <v>181</v>
      </c>
      <c r="B833" s="3">
        <v>46204</v>
      </c>
      <c r="C833" s="2" t="s">
        <v>246</v>
      </c>
      <c r="D833" s="2" t="s">
        <v>41</v>
      </c>
      <c r="E833" t="str">
        <f>IF(OR(A833="", B833=""), "Check missing data", IF(COUNTIFS($A$2:A833, A833, $B$2:B833, B833)&gt;1, "Possible Duplicate", "First Occurrence"))</f>
        <v>First Occurrence</v>
      </c>
      <c r="F833" t="str">
        <f t="shared" si="24"/>
        <v>Present</v>
      </c>
      <c r="H833" t="str">
        <f t="shared" si="25"/>
        <v>Human Resources</v>
      </c>
    </row>
    <row r="834" spans="1:8" x14ac:dyDescent="0.35">
      <c r="A834" s="2" t="s">
        <v>181</v>
      </c>
      <c r="B834" s="3">
        <v>46231</v>
      </c>
      <c r="C834" s="2" t="s">
        <v>247</v>
      </c>
      <c r="D834" s="2" t="s">
        <v>41</v>
      </c>
      <c r="E834" t="str">
        <f>IF(OR(A834="", B834=""), "Check missing data", IF(COUNTIFS($A$2:A834, A834, $B$2:B834, B834)&gt;1, "Possible Duplicate", "First Occurrence"))</f>
        <v>First Occurrence</v>
      </c>
      <c r="F834" t="str">
        <f t="shared" si="24"/>
        <v>Late</v>
      </c>
      <c r="H834" t="str">
        <f t="shared" si="25"/>
        <v>Human Resources</v>
      </c>
    </row>
    <row r="835" spans="1:8" x14ac:dyDescent="0.35">
      <c r="A835" s="2" t="s">
        <v>181</v>
      </c>
      <c r="B835" s="3">
        <v>46216</v>
      </c>
      <c r="C835" s="2" t="s">
        <v>246</v>
      </c>
      <c r="D835" s="2" t="s">
        <v>41</v>
      </c>
      <c r="E835" t="str">
        <f>IF(OR(A835="", B835=""), "Check missing data", IF(COUNTIFS($A$2:A835, A835, $B$2:B835, B835)&gt;1, "Possible Duplicate", "First Occurrence"))</f>
        <v>First Occurrence</v>
      </c>
      <c r="F835" t="str">
        <f t="shared" ref="F835:F898" si="26">PROPER(TRIM(C835))</f>
        <v>Present</v>
      </c>
      <c r="H835" t="str">
        <f t="shared" ref="H835:H898" si="27">TRIM(CLEAN(D835))</f>
        <v>Human Resources</v>
      </c>
    </row>
    <row r="836" spans="1:8" x14ac:dyDescent="0.35">
      <c r="A836" s="2" t="s">
        <v>181</v>
      </c>
      <c r="B836" s="3">
        <v>46293</v>
      </c>
      <c r="C836" s="2" t="s">
        <v>247</v>
      </c>
      <c r="D836" s="2" t="s">
        <v>41</v>
      </c>
      <c r="E836" t="str">
        <f>IF(OR(A836="", B836=""), "Check missing data", IF(COUNTIFS($A$2:A836, A836, $B$2:B836, B836)&gt;1, "Possible Duplicate", "First Occurrence"))</f>
        <v>First Occurrence</v>
      </c>
      <c r="F836" t="str">
        <f t="shared" si="26"/>
        <v>Late</v>
      </c>
      <c r="H836" t="str">
        <f t="shared" si="27"/>
        <v>Human Resources</v>
      </c>
    </row>
    <row r="837" spans="1:8" x14ac:dyDescent="0.35">
      <c r="A837" s="2" t="s">
        <v>181</v>
      </c>
      <c r="B837" s="3">
        <v>46241</v>
      </c>
      <c r="C837" s="2" t="s">
        <v>247</v>
      </c>
      <c r="D837" s="2" t="s">
        <v>41</v>
      </c>
      <c r="E837" t="str">
        <f>IF(OR(A837="", B837=""), "Check missing data", IF(COUNTIFS($A$2:A837, A837, $B$2:B837, B837)&gt;1, "Possible Duplicate", "First Occurrence"))</f>
        <v>First Occurrence</v>
      </c>
      <c r="F837" t="str">
        <f t="shared" si="26"/>
        <v>Late</v>
      </c>
      <c r="H837" t="str">
        <f t="shared" si="27"/>
        <v>Human Resources</v>
      </c>
    </row>
    <row r="838" spans="1:8" x14ac:dyDescent="0.35">
      <c r="A838" s="2" t="s">
        <v>181</v>
      </c>
      <c r="B838" s="3">
        <v>46237</v>
      </c>
      <c r="C838" s="2" t="s">
        <v>246</v>
      </c>
      <c r="D838" s="2" t="s">
        <v>41</v>
      </c>
      <c r="E838" t="str">
        <f>IF(OR(A838="", B838=""), "Check missing data", IF(COUNTIFS($A$2:A838, A838, $B$2:B838, B838)&gt;1, "Possible Duplicate", "First Occurrence"))</f>
        <v>First Occurrence</v>
      </c>
      <c r="F838" t="str">
        <f t="shared" si="26"/>
        <v>Present</v>
      </c>
      <c r="H838" t="str">
        <f t="shared" si="27"/>
        <v>Human Resources</v>
      </c>
    </row>
    <row r="839" spans="1:8" x14ac:dyDescent="0.35">
      <c r="A839" s="2" t="s">
        <v>181</v>
      </c>
      <c r="B839" s="3">
        <v>46217</v>
      </c>
      <c r="C839" s="2" t="s">
        <v>245</v>
      </c>
      <c r="D839" s="2" t="s">
        <v>41</v>
      </c>
      <c r="E839" t="str">
        <f>IF(OR(A839="", B839=""), "Check missing data", IF(COUNTIFS($A$2:A839, A839, $B$2:B839, B839)&gt;1, "Possible Duplicate", "First Occurrence"))</f>
        <v>First Occurrence</v>
      </c>
      <c r="F839" t="str">
        <f t="shared" si="26"/>
        <v>Absent</v>
      </c>
      <c r="H839" t="str">
        <f t="shared" si="27"/>
        <v>Human Resources</v>
      </c>
    </row>
    <row r="840" spans="1:8" x14ac:dyDescent="0.35">
      <c r="A840" s="2" t="s">
        <v>181</v>
      </c>
      <c r="B840" s="3">
        <v>46247</v>
      </c>
      <c r="C840" s="2" t="s">
        <v>247</v>
      </c>
      <c r="D840" s="2" t="s">
        <v>41</v>
      </c>
      <c r="E840" t="str">
        <f>IF(OR(A840="", B840=""), "Check missing data", IF(COUNTIFS($A$2:A840, A840, $B$2:B840, B840)&gt;1, "Possible Duplicate", "First Occurrence"))</f>
        <v>First Occurrence</v>
      </c>
      <c r="F840" t="str">
        <f t="shared" si="26"/>
        <v>Late</v>
      </c>
      <c r="H840" t="str">
        <f t="shared" si="27"/>
        <v>Human Resources</v>
      </c>
    </row>
    <row r="841" spans="1:8" x14ac:dyDescent="0.35">
      <c r="A841" s="2" t="s">
        <v>181</v>
      </c>
      <c r="B841" s="3">
        <v>46230</v>
      </c>
      <c r="C841" s="2" t="s">
        <v>245</v>
      </c>
      <c r="D841" s="2" t="s">
        <v>41</v>
      </c>
      <c r="E841" t="str">
        <f>IF(OR(A841="", B841=""), "Check missing data", IF(COUNTIFS($A$2:A841, A841, $B$2:B841, B841)&gt;1, "Possible Duplicate", "First Occurrence"))</f>
        <v>First Occurrence</v>
      </c>
      <c r="F841" t="str">
        <f t="shared" si="26"/>
        <v>Absent</v>
      </c>
      <c r="H841" t="str">
        <f t="shared" si="27"/>
        <v>Human Resources</v>
      </c>
    </row>
    <row r="842" spans="1:8" x14ac:dyDescent="0.35">
      <c r="A842" s="2" t="s">
        <v>183</v>
      </c>
      <c r="B842" s="3">
        <v>46204</v>
      </c>
      <c r="C842" s="2" t="s">
        <v>245</v>
      </c>
      <c r="D842" s="2" t="s">
        <v>37</v>
      </c>
      <c r="E842" t="str">
        <f>IF(OR(A842="", B842=""), "Check missing data", IF(COUNTIFS($A$2:A842, A842, $B$2:B842, B842)&gt;1, "Possible Duplicate", "First Occurrence"))</f>
        <v>First Occurrence</v>
      </c>
      <c r="F842" t="str">
        <f t="shared" si="26"/>
        <v>Absent</v>
      </c>
      <c r="H842" t="str">
        <f t="shared" si="27"/>
        <v>Customer Support</v>
      </c>
    </row>
    <row r="843" spans="1:8" x14ac:dyDescent="0.35">
      <c r="A843" s="2" t="s">
        <v>183</v>
      </c>
      <c r="B843" s="3">
        <v>46259</v>
      </c>
      <c r="C843" s="2" t="s">
        <v>246</v>
      </c>
      <c r="D843" s="2" t="s">
        <v>37</v>
      </c>
      <c r="E843" t="str">
        <f>IF(OR(A843="", B843=""), "Check missing data", IF(COUNTIFS($A$2:A843, A843, $B$2:B843, B843)&gt;1, "Possible Duplicate", "First Occurrence"))</f>
        <v>First Occurrence</v>
      </c>
      <c r="F843" t="str">
        <f t="shared" si="26"/>
        <v>Present</v>
      </c>
      <c r="H843" t="str">
        <f t="shared" si="27"/>
        <v>Customer Support</v>
      </c>
    </row>
    <row r="844" spans="1:8" x14ac:dyDescent="0.35">
      <c r="A844" s="2" t="s">
        <v>183</v>
      </c>
      <c r="B844" s="3">
        <v>46237</v>
      </c>
      <c r="C844" s="2" t="s">
        <v>30</v>
      </c>
      <c r="D844" s="2" t="s">
        <v>37</v>
      </c>
      <c r="E844" t="str">
        <f>IF(OR(A844="", B844=""), "Check missing data", IF(COUNTIFS($A$2:A844, A844, $B$2:B844, B844)&gt;1, "Possible Duplicate", "First Occurrence"))</f>
        <v>First Occurrence</v>
      </c>
      <c r="F844" t="str">
        <f t="shared" si="26"/>
        <v>On Leave</v>
      </c>
      <c r="H844" t="str">
        <f t="shared" si="27"/>
        <v>Customer Support</v>
      </c>
    </row>
    <row r="845" spans="1:8" x14ac:dyDescent="0.35">
      <c r="A845" s="2" t="s">
        <v>183</v>
      </c>
      <c r="B845" s="3">
        <v>46274</v>
      </c>
      <c r="C845" s="2" t="s">
        <v>247</v>
      </c>
      <c r="D845" s="2" t="s">
        <v>37</v>
      </c>
      <c r="E845" t="str">
        <f>IF(OR(A845="", B845=""), "Check missing data", IF(COUNTIFS($A$2:A845, A845, $B$2:B845, B845)&gt;1, "Possible Duplicate", "First Occurrence"))</f>
        <v>First Occurrence</v>
      </c>
      <c r="F845" t="str">
        <f t="shared" si="26"/>
        <v>Late</v>
      </c>
      <c r="H845" t="str">
        <f t="shared" si="27"/>
        <v>Customer Support</v>
      </c>
    </row>
    <row r="846" spans="1:8" x14ac:dyDescent="0.35">
      <c r="A846" s="2" t="s">
        <v>183</v>
      </c>
      <c r="B846" s="3">
        <v>46226</v>
      </c>
      <c r="C846" s="2" t="s">
        <v>246</v>
      </c>
      <c r="D846" s="2" t="s">
        <v>37</v>
      </c>
      <c r="E846" t="str">
        <f>IF(OR(A846="", B846=""), "Check missing data", IF(COUNTIFS($A$2:A846, A846, $B$2:B846, B846)&gt;1, "Possible Duplicate", "First Occurrence"))</f>
        <v>First Occurrence</v>
      </c>
      <c r="F846" t="str">
        <f t="shared" si="26"/>
        <v>Present</v>
      </c>
      <c r="H846" t="str">
        <f t="shared" si="27"/>
        <v>Customer Support</v>
      </c>
    </row>
    <row r="847" spans="1:8" x14ac:dyDescent="0.35">
      <c r="A847" s="2" t="s">
        <v>183</v>
      </c>
      <c r="B847" s="3">
        <v>46272</v>
      </c>
      <c r="C847" s="2" t="s">
        <v>246</v>
      </c>
      <c r="D847" s="2" t="s">
        <v>37</v>
      </c>
      <c r="E847" t="str">
        <f>IF(OR(A847="", B847=""), "Check missing data", IF(COUNTIFS($A$2:A847, A847, $B$2:B847, B847)&gt;1, "Possible Duplicate", "First Occurrence"))</f>
        <v>First Occurrence</v>
      </c>
      <c r="F847" t="str">
        <f t="shared" si="26"/>
        <v>Present</v>
      </c>
      <c r="H847" t="str">
        <f t="shared" si="27"/>
        <v>Customer Support</v>
      </c>
    </row>
    <row r="848" spans="1:8" x14ac:dyDescent="0.35">
      <c r="A848" s="2" t="s">
        <v>183</v>
      </c>
      <c r="B848" s="3">
        <v>46246</v>
      </c>
      <c r="C848" s="2" t="s">
        <v>246</v>
      </c>
      <c r="D848" s="2" t="s">
        <v>37</v>
      </c>
      <c r="E848" t="str">
        <f>IF(OR(A848="", B848=""), "Check missing data", IF(COUNTIFS($A$2:A848, A848, $B$2:B848, B848)&gt;1, "Possible Duplicate", "First Occurrence"))</f>
        <v>First Occurrence</v>
      </c>
      <c r="F848" t="str">
        <f t="shared" si="26"/>
        <v>Present</v>
      </c>
      <c r="H848" t="str">
        <f t="shared" si="27"/>
        <v>Customer Support</v>
      </c>
    </row>
    <row r="849" spans="1:8" x14ac:dyDescent="0.35">
      <c r="A849" s="2" t="s">
        <v>183</v>
      </c>
      <c r="B849" s="3">
        <v>46213</v>
      </c>
      <c r="C849" s="2" t="s">
        <v>247</v>
      </c>
      <c r="D849" s="2" t="s">
        <v>37</v>
      </c>
      <c r="E849" t="str">
        <f>IF(OR(A849="", B849=""), "Check missing data", IF(COUNTIFS($A$2:A849, A849, $B$2:B849, B849)&gt;1, "Possible Duplicate", "First Occurrence"))</f>
        <v>First Occurrence</v>
      </c>
      <c r="F849" t="str">
        <f t="shared" si="26"/>
        <v>Late</v>
      </c>
      <c r="H849" t="str">
        <f t="shared" si="27"/>
        <v>Customer Support</v>
      </c>
    </row>
    <row r="850" spans="1:8" x14ac:dyDescent="0.35">
      <c r="A850" s="2" t="s">
        <v>183</v>
      </c>
      <c r="B850" s="3">
        <v>46269</v>
      </c>
      <c r="C850" s="2" t="s">
        <v>245</v>
      </c>
      <c r="D850" s="2" t="s">
        <v>37</v>
      </c>
      <c r="E850" t="str">
        <f>IF(OR(A850="", B850=""), "Check missing data", IF(COUNTIFS($A$2:A850, A850, $B$2:B850, B850)&gt;1, "Possible Duplicate", "First Occurrence"))</f>
        <v>First Occurrence</v>
      </c>
      <c r="F850" t="str">
        <f t="shared" si="26"/>
        <v>Absent</v>
      </c>
      <c r="H850" t="str">
        <f t="shared" si="27"/>
        <v>Customer Support</v>
      </c>
    </row>
    <row r="851" spans="1:8" x14ac:dyDescent="0.35">
      <c r="A851" s="2" t="s">
        <v>183</v>
      </c>
      <c r="B851" s="3">
        <v>46240</v>
      </c>
      <c r="C851" s="2" t="s">
        <v>246</v>
      </c>
      <c r="D851" s="2" t="s">
        <v>37</v>
      </c>
      <c r="E851" t="str">
        <f>IF(OR(A851="", B851=""), "Check missing data", IF(COUNTIFS($A$2:A851, A851, $B$2:B851, B851)&gt;1, "Possible Duplicate", "First Occurrence"))</f>
        <v>First Occurrence</v>
      </c>
      <c r="F851" t="str">
        <f t="shared" si="26"/>
        <v>Present</v>
      </c>
      <c r="H851" t="str">
        <f t="shared" si="27"/>
        <v>Customer Support</v>
      </c>
    </row>
    <row r="852" spans="1:8" x14ac:dyDescent="0.35">
      <c r="A852" s="2" t="s">
        <v>183</v>
      </c>
      <c r="B852" s="3">
        <v>46241</v>
      </c>
      <c r="C852" s="2" t="s">
        <v>246</v>
      </c>
      <c r="D852" s="2" t="s">
        <v>37</v>
      </c>
      <c r="E852" t="str">
        <f>IF(OR(A852="", B852=""), "Check missing data", IF(COUNTIFS($A$2:A852, A852, $B$2:B852, B852)&gt;1, "Possible Duplicate", "First Occurrence"))</f>
        <v>First Occurrence</v>
      </c>
      <c r="F852" t="str">
        <f t="shared" si="26"/>
        <v>Present</v>
      </c>
      <c r="H852" t="str">
        <f t="shared" si="27"/>
        <v>Customer Support</v>
      </c>
    </row>
    <row r="853" spans="1:8" x14ac:dyDescent="0.35">
      <c r="A853" s="2" t="s">
        <v>183</v>
      </c>
      <c r="B853" s="3">
        <v>46282</v>
      </c>
      <c r="C853" s="2" t="s">
        <v>245</v>
      </c>
      <c r="D853" s="2" t="s">
        <v>37</v>
      </c>
      <c r="E853" t="str">
        <f>IF(OR(A853="", B853=""), "Check missing data", IF(COUNTIFS($A$2:A853, A853, $B$2:B853, B853)&gt;1, "Possible Duplicate", "First Occurrence"))</f>
        <v>First Occurrence</v>
      </c>
      <c r="F853" t="str">
        <f t="shared" si="26"/>
        <v>Absent</v>
      </c>
      <c r="H853" t="str">
        <f t="shared" si="27"/>
        <v>Customer Support</v>
      </c>
    </row>
    <row r="854" spans="1:8" x14ac:dyDescent="0.35">
      <c r="A854" s="2" t="s">
        <v>185</v>
      </c>
      <c r="B854" s="3">
        <v>46279</v>
      </c>
      <c r="C854" s="2" t="s">
        <v>246</v>
      </c>
      <c r="D854" s="2" t="s">
        <v>37</v>
      </c>
      <c r="E854" t="str">
        <f>IF(OR(A854="", B854=""), "Check missing data", IF(COUNTIFS($A$2:A854, A854, $B$2:B854, B854)&gt;1, "Possible Duplicate", "First Occurrence"))</f>
        <v>First Occurrence</v>
      </c>
      <c r="F854" t="str">
        <f t="shared" si="26"/>
        <v>Present</v>
      </c>
      <c r="H854" t="str">
        <f t="shared" si="27"/>
        <v>Customer Support</v>
      </c>
    </row>
    <row r="855" spans="1:8" x14ac:dyDescent="0.35">
      <c r="A855" s="2" t="s">
        <v>185</v>
      </c>
      <c r="B855" s="3">
        <v>46288</v>
      </c>
      <c r="C855" s="2" t="s">
        <v>245</v>
      </c>
      <c r="D855" s="2" t="s">
        <v>37</v>
      </c>
      <c r="E855" t="str">
        <f>IF(OR(A855="", B855=""), "Check missing data", IF(COUNTIFS($A$2:A855, A855, $B$2:B855, B855)&gt;1, "Possible Duplicate", "First Occurrence"))</f>
        <v>First Occurrence</v>
      </c>
      <c r="F855" t="str">
        <f t="shared" si="26"/>
        <v>Absent</v>
      </c>
      <c r="H855" t="str">
        <f t="shared" si="27"/>
        <v>Customer Support</v>
      </c>
    </row>
    <row r="856" spans="1:8" x14ac:dyDescent="0.35">
      <c r="A856" s="2" t="s">
        <v>185</v>
      </c>
      <c r="B856" s="3">
        <v>46211</v>
      </c>
      <c r="C856" s="2" t="s">
        <v>245</v>
      </c>
      <c r="D856" s="2" t="s">
        <v>37</v>
      </c>
      <c r="E856" t="str">
        <f>IF(OR(A856="", B856=""), "Check missing data", IF(COUNTIFS($A$2:A856, A856, $B$2:B856, B856)&gt;1, "Possible Duplicate", "First Occurrence"))</f>
        <v>First Occurrence</v>
      </c>
      <c r="F856" t="str">
        <f t="shared" si="26"/>
        <v>Absent</v>
      </c>
      <c r="H856" t="str">
        <f t="shared" si="27"/>
        <v>Customer Support</v>
      </c>
    </row>
    <row r="857" spans="1:8" x14ac:dyDescent="0.35">
      <c r="A857" s="2" t="s">
        <v>185</v>
      </c>
      <c r="B857" s="3">
        <v>46269</v>
      </c>
      <c r="C857" s="2" t="s">
        <v>30</v>
      </c>
      <c r="D857" s="2" t="s">
        <v>37</v>
      </c>
      <c r="E857" t="str">
        <f>IF(OR(A857="", B857=""), "Check missing data", IF(COUNTIFS($A$2:A857, A857, $B$2:B857, B857)&gt;1, "Possible Duplicate", "First Occurrence"))</f>
        <v>First Occurrence</v>
      </c>
      <c r="F857" t="str">
        <f t="shared" si="26"/>
        <v>On Leave</v>
      </c>
      <c r="H857" t="str">
        <f t="shared" si="27"/>
        <v>Customer Support</v>
      </c>
    </row>
    <row r="858" spans="1:8" x14ac:dyDescent="0.35">
      <c r="A858" s="2" t="s">
        <v>185</v>
      </c>
      <c r="B858" s="3">
        <v>46282</v>
      </c>
      <c r="C858" s="2" t="s">
        <v>246</v>
      </c>
      <c r="D858" s="2" t="s">
        <v>37</v>
      </c>
      <c r="E858" t="str">
        <f>IF(OR(A858="", B858=""), "Check missing data", IF(COUNTIFS($A$2:A858, A858, $B$2:B858, B858)&gt;1, "Possible Duplicate", "First Occurrence"))</f>
        <v>First Occurrence</v>
      </c>
      <c r="F858" t="str">
        <f t="shared" si="26"/>
        <v>Present</v>
      </c>
      <c r="H858" t="str">
        <f t="shared" si="27"/>
        <v>Customer Support</v>
      </c>
    </row>
    <row r="859" spans="1:8" x14ac:dyDescent="0.35">
      <c r="A859" s="2" t="s">
        <v>185</v>
      </c>
      <c r="B859" s="3">
        <v>46280</v>
      </c>
      <c r="C859" s="2" t="s">
        <v>246</v>
      </c>
      <c r="D859" s="2" t="s">
        <v>37</v>
      </c>
      <c r="E859" t="str">
        <f>IF(OR(A859="", B859=""), "Check missing data", IF(COUNTIFS($A$2:A859, A859, $B$2:B859, B859)&gt;1, "Possible Duplicate", "First Occurrence"))</f>
        <v>First Occurrence</v>
      </c>
      <c r="F859" t="str">
        <f t="shared" si="26"/>
        <v>Present</v>
      </c>
      <c r="H859" t="str">
        <f t="shared" si="27"/>
        <v>Customer Support</v>
      </c>
    </row>
    <row r="860" spans="1:8" x14ac:dyDescent="0.35">
      <c r="A860" s="2" t="s">
        <v>185</v>
      </c>
      <c r="B860" s="3">
        <v>46204</v>
      </c>
      <c r="C860" s="2" t="s">
        <v>246</v>
      </c>
      <c r="D860" s="2" t="s">
        <v>37</v>
      </c>
      <c r="E860" t="str">
        <f>IF(OR(A860="", B860=""), "Check missing data", IF(COUNTIFS($A$2:A860, A860, $B$2:B860, B860)&gt;1, "Possible Duplicate", "First Occurrence"))</f>
        <v>First Occurrence</v>
      </c>
      <c r="F860" t="str">
        <f t="shared" si="26"/>
        <v>Present</v>
      </c>
      <c r="H860" t="str">
        <f t="shared" si="27"/>
        <v>Customer Support</v>
      </c>
    </row>
    <row r="861" spans="1:8" x14ac:dyDescent="0.35">
      <c r="A861" s="2" t="s">
        <v>185</v>
      </c>
      <c r="B861" s="3">
        <v>46234</v>
      </c>
      <c r="C861" s="2" t="s">
        <v>30</v>
      </c>
      <c r="D861" s="2" t="s">
        <v>37</v>
      </c>
      <c r="E861" t="str">
        <f>IF(OR(A861="", B861=""), "Check missing data", IF(COUNTIFS($A$2:A861, A861, $B$2:B861, B861)&gt;1, "Possible Duplicate", "First Occurrence"))</f>
        <v>First Occurrence</v>
      </c>
      <c r="F861" t="str">
        <f t="shared" si="26"/>
        <v>On Leave</v>
      </c>
      <c r="H861" t="str">
        <f t="shared" si="27"/>
        <v>Customer Support</v>
      </c>
    </row>
    <row r="862" spans="1:8" x14ac:dyDescent="0.35">
      <c r="A862" s="2" t="s">
        <v>185</v>
      </c>
      <c r="B862" s="3">
        <v>46274</v>
      </c>
      <c r="C862" s="2" t="s">
        <v>246</v>
      </c>
      <c r="D862" s="2" t="s">
        <v>37</v>
      </c>
      <c r="E862" t="str">
        <f>IF(OR(A862="", B862=""), "Check missing data", IF(COUNTIFS($A$2:A862, A862, $B$2:B862, B862)&gt;1, "Possible Duplicate", "First Occurrence"))</f>
        <v>First Occurrence</v>
      </c>
      <c r="F862" t="str">
        <f t="shared" si="26"/>
        <v>Present</v>
      </c>
      <c r="H862" t="str">
        <f t="shared" si="27"/>
        <v>Customer Support</v>
      </c>
    </row>
    <row r="863" spans="1:8" x14ac:dyDescent="0.35">
      <c r="A863" s="2" t="s">
        <v>185</v>
      </c>
      <c r="B863" s="3">
        <v>46223</v>
      </c>
      <c r="C863" s="2" t="s">
        <v>247</v>
      </c>
      <c r="D863" s="2" t="s">
        <v>37</v>
      </c>
      <c r="E863" t="str">
        <f>IF(OR(A863="", B863=""), "Check missing data", IF(COUNTIFS($A$2:A863, A863, $B$2:B863, B863)&gt;1, "Possible Duplicate", "First Occurrence"))</f>
        <v>First Occurrence</v>
      </c>
      <c r="F863" t="str">
        <f t="shared" si="26"/>
        <v>Late</v>
      </c>
      <c r="H863" t="str">
        <f t="shared" si="27"/>
        <v>Customer Support</v>
      </c>
    </row>
    <row r="864" spans="1:8" x14ac:dyDescent="0.35">
      <c r="A864" s="2" t="s">
        <v>185</v>
      </c>
      <c r="B864" s="3">
        <v>46213</v>
      </c>
      <c r="C864" s="2" t="s">
        <v>245</v>
      </c>
      <c r="D864" s="2" t="s">
        <v>37</v>
      </c>
      <c r="E864" t="str">
        <f>IF(OR(A864="", B864=""), "Check missing data", IF(COUNTIFS($A$2:A864, A864, $B$2:B864, B864)&gt;1, "Possible Duplicate", "First Occurrence"))</f>
        <v>First Occurrence</v>
      </c>
      <c r="F864" t="str">
        <f t="shared" si="26"/>
        <v>Absent</v>
      </c>
      <c r="H864" t="str">
        <f t="shared" si="27"/>
        <v>Customer Support</v>
      </c>
    </row>
    <row r="865" spans="1:8" x14ac:dyDescent="0.35">
      <c r="A865" s="2" t="s">
        <v>185</v>
      </c>
      <c r="B865" s="3">
        <v>46267</v>
      </c>
      <c r="C865" s="2" t="s">
        <v>247</v>
      </c>
      <c r="D865" s="2" t="s">
        <v>37</v>
      </c>
      <c r="E865" t="str">
        <f>IF(OR(A865="", B865=""), "Check missing data", IF(COUNTIFS($A$2:A865, A865, $B$2:B865, B865)&gt;1, "Possible Duplicate", "First Occurrence"))</f>
        <v>First Occurrence</v>
      </c>
      <c r="F865" t="str">
        <f t="shared" si="26"/>
        <v>Late</v>
      </c>
      <c r="H865" t="str">
        <f t="shared" si="27"/>
        <v>Customer Support</v>
      </c>
    </row>
    <row r="866" spans="1:8" x14ac:dyDescent="0.35">
      <c r="A866" s="2" t="s">
        <v>187</v>
      </c>
      <c r="B866" s="3">
        <v>46272</v>
      </c>
      <c r="C866" s="2" t="s">
        <v>246</v>
      </c>
      <c r="D866" s="2" t="s">
        <v>17</v>
      </c>
      <c r="E866" t="str">
        <f>IF(OR(A866="", B866=""), "Check missing data", IF(COUNTIFS($A$2:A866, A866, $B$2:B866, B866)&gt;1, "Possible Duplicate", "First Occurrence"))</f>
        <v>First Occurrence</v>
      </c>
      <c r="F866" t="str">
        <f t="shared" si="26"/>
        <v>Present</v>
      </c>
      <c r="H866" t="str">
        <f t="shared" si="27"/>
        <v>Finance</v>
      </c>
    </row>
    <row r="867" spans="1:8" x14ac:dyDescent="0.35">
      <c r="A867" s="2" t="s">
        <v>187</v>
      </c>
      <c r="B867" s="3">
        <v>46218</v>
      </c>
      <c r="C867" s="2" t="s">
        <v>246</v>
      </c>
      <c r="D867" s="2" t="s">
        <v>17</v>
      </c>
      <c r="E867" t="str">
        <f>IF(OR(A867="", B867=""), "Check missing data", IF(COUNTIFS($A$2:A867, A867, $B$2:B867, B867)&gt;1, "Possible Duplicate", "First Occurrence"))</f>
        <v>First Occurrence</v>
      </c>
      <c r="F867" t="str">
        <f t="shared" si="26"/>
        <v>Present</v>
      </c>
      <c r="H867" t="str">
        <f t="shared" si="27"/>
        <v>Finance</v>
      </c>
    </row>
    <row r="868" spans="1:8" x14ac:dyDescent="0.35">
      <c r="A868" s="2" t="s">
        <v>187</v>
      </c>
      <c r="B868" s="3">
        <v>46290</v>
      </c>
      <c r="C868" s="2" t="s">
        <v>245</v>
      </c>
      <c r="D868" s="2" t="s">
        <v>17</v>
      </c>
      <c r="E868" t="str">
        <f>IF(OR(A868="", B868=""), "Check missing data", IF(COUNTIFS($A$2:A868, A868, $B$2:B868, B868)&gt;1, "Possible Duplicate", "First Occurrence"))</f>
        <v>First Occurrence</v>
      </c>
      <c r="F868" t="str">
        <f t="shared" si="26"/>
        <v>Absent</v>
      </c>
      <c r="H868" t="str">
        <f t="shared" si="27"/>
        <v>Finance</v>
      </c>
    </row>
    <row r="869" spans="1:8" x14ac:dyDescent="0.35">
      <c r="A869" s="2" t="s">
        <v>187</v>
      </c>
      <c r="B869" s="3">
        <v>46283</v>
      </c>
      <c r="C869" s="2" t="s">
        <v>246</v>
      </c>
      <c r="D869" s="2" t="s">
        <v>17</v>
      </c>
      <c r="E869" t="str">
        <f>IF(OR(A869="", B869=""), "Check missing data", IF(COUNTIFS($A$2:A869, A869, $B$2:B869, B869)&gt;1, "Possible Duplicate", "First Occurrence"))</f>
        <v>First Occurrence</v>
      </c>
      <c r="F869" t="str">
        <f t="shared" si="26"/>
        <v>Present</v>
      </c>
      <c r="H869" t="str">
        <f t="shared" si="27"/>
        <v>Finance</v>
      </c>
    </row>
    <row r="870" spans="1:8" x14ac:dyDescent="0.35">
      <c r="A870" s="2" t="s">
        <v>187</v>
      </c>
      <c r="B870" s="3">
        <v>46259</v>
      </c>
      <c r="C870" s="2" t="s">
        <v>30</v>
      </c>
      <c r="D870" s="2" t="s">
        <v>17</v>
      </c>
      <c r="E870" t="str">
        <f>IF(OR(A870="", B870=""), "Check missing data", IF(COUNTIFS($A$2:A870, A870, $B$2:B870, B870)&gt;1, "Possible Duplicate", "First Occurrence"))</f>
        <v>First Occurrence</v>
      </c>
      <c r="F870" t="str">
        <f t="shared" si="26"/>
        <v>On Leave</v>
      </c>
      <c r="H870" t="str">
        <f t="shared" si="27"/>
        <v>Finance</v>
      </c>
    </row>
    <row r="871" spans="1:8" x14ac:dyDescent="0.35">
      <c r="A871" s="2" t="s">
        <v>187</v>
      </c>
      <c r="B871" s="3">
        <v>46245</v>
      </c>
      <c r="C871" s="2" t="s">
        <v>30</v>
      </c>
      <c r="D871" s="2" t="s">
        <v>17</v>
      </c>
      <c r="E871" t="str">
        <f>IF(OR(A871="", B871=""), "Check missing data", IF(COUNTIFS($A$2:A871, A871, $B$2:B871, B871)&gt;1, "Possible Duplicate", "First Occurrence"))</f>
        <v>First Occurrence</v>
      </c>
      <c r="F871" t="str">
        <f t="shared" si="26"/>
        <v>On Leave</v>
      </c>
      <c r="H871" t="str">
        <f t="shared" si="27"/>
        <v>Finance</v>
      </c>
    </row>
    <row r="872" spans="1:8" x14ac:dyDescent="0.35">
      <c r="A872" s="2" t="s">
        <v>187</v>
      </c>
      <c r="B872" s="3">
        <v>46258</v>
      </c>
      <c r="C872" s="2" t="s">
        <v>30</v>
      </c>
      <c r="D872" s="2" t="s">
        <v>17</v>
      </c>
      <c r="E872" t="str">
        <f>IF(OR(A872="", B872=""), "Check missing data", IF(COUNTIFS($A$2:A872, A872, $B$2:B872, B872)&gt;1, "Possible Duplicate", "First Occurrence"))</f>
        <v>First Occurrence</v>
      </c>
      <c r="F872" t="str">
        <f t="shared" si="26"/>
        <v>On Leave</v>
      </c>
      <c r="H872" t="str">
        <f t="shared" si="27"/>
        <v>Finance</v>
      </c>
    </row>
    <row r="873" spans="1:8" x14ac:dyDescent="0.35">
      <c r="A873" s="2" t="s">
        <v>187</v>
      </c>
      <c r="B873" s="3">
        <v>46246</v>
      </c>
      <c r="C873" s="2" t="s">
        <v>247</v>
      </c>
      <c r="D873" s="2" t="s">
        <v>17</v>
      </c>
      <c r="E873" t="str">
        <f>IF(OR(A873="", B873=""), "Check missing data", IF(COUNTIFS($A$2:A873, A873, $B$2:B873, B873)&gt;1, "Possible Duplicate", "First Occurrence"))</f>
        <v>First Occurrence</v>
      </c>
      <c r="F873" t="str">
        <f t="shared" si="26"/>
        <v>Late</v>
      </c>
      <c r="H873" t="str">
        <f t="shared" si="27"/>
        <v>Finance</v>
      </c>
    </row>
    <row r="874" spans="1:8" x14ac:dyDescent="0.35">
      <c r="A874" s="2" t="s">
        <v>187</v>
      </c>
      <c r="B874" s="3">
        <v>46260</v>
      </c>
      <c r="C874" s="2" t="s">
        <v>246</v>
      </c>
      <c r="D874" s="2" t="s">
        <v>17</v>
      </c>
      <c r="E874" t="str">
        <f>IF(OR(A874="", B874=""), "Check missing data", IF(COUNTIFS($A$2:A874, A874, $B$2:B874, B874)&gt;1, "Possible Duplicate", "First Occurrence"))</f>
        <v>First Occurrence</v>
      </c>
      <c r="F874" t="str">
        <f t="shared" si="26"/>
        <v>Present</v>
      </c>
      <c r="H874" t="str">
        <f t="shared" si="27"/>
        <v>Finance</v>
      </c>
    </row>
    <row r="875" spans="1:8" x14ac:dyDescent="0.35">
      <c r="A875" s="2" t="s">
        <v>187</v>
      </c>
      <c r="B875" s="3">
        <v>46262</v>
      </c>
      <c r="C875" s="2" t="s">
        <v>245</v>
      </c>
      <c r="D875" s="2" t="s">
        <v>17</v>
      </c>
      <c r="E875" t="str">
        <f>IF(OR(A875="", B875=""), "Check missing data", IF(COUNTIFS($A$2:A875, A875, $B$2:B875, B875)&gt;1, "Possible Duplicate", "First Occurrence"))</f>
        <v>First Occurrence</v>
      </c>
      <c r="F875" t="str">
        <f t="shared" si="26"/>
        <v>Absent</v>
      </c>
      <c r="H875" t="str">
        <f t="shared" si="27"/>
        <v>Finance</v>
      </c>
    </row>
    <row r="876" spans="1:8" x14ac:dyDescent="0.35">
      <c r="A876" s="2" t="s">
        <v>187</v>
      </c>
      <c r="B876" s="3">
        <v>46281</v>
      </c>
      <c r="C876" s="2" t="s">
        <v>246</v>
      </c>
      <c r="D876" s="2" t="s">
        <v>17</v>
      </c>
      <c r="E876" t="str">
        <f>IF(OR(A876="", B876=""), "Check missing data", IF(COUNTIFS($A$2:A876, A876, $B$2:B876, B876)&gt;1, "Possible Duplicate", "First Occurrence"))</f>
        <v>First Occurrence</v>
      </c>
      <c r="F876" t="str">
        <f t="shared" si="26"/>
        <v>Present</v>
      </c>
      <c r="H876" t="str">
        <f t="shared" si="27"/>
        <v>Finance</v>
      </c>
    </row>
    <row r="877" spans="1:8" x14ac:dyDescent="0.35">
      <c r="A877" s="2" t="s">
        <v>187</v>
      </c>
      <c r="B877" s="3">
        <v>46205</v>
      </c>
      <c r="C877" s="2" t="s">
        <v>247</v>
      </c>
      <c r="D877" s="2" t="s">
        <v>17</v>
      </c>
      <c r="E877" t="str">
        <f>IF(OR(A877="", B877=""), "Check missing data", IF(COUNTIFS($A$2:A877, A877, $B$2:B877, B877)&gt;1, "Possible Duplicate", "First Occurrence"))</f>
        <v>First Occurrence</v>
      </c>
      <c r="F877" t="str">
        <f t="shared" si="26"/>
        <v>Late</v>
      </c>
      <c r="H877" t="str">
        <f t="shared" si="27"/>
        <v>Finance</v>
      </c>
    </row>
    <row r="878" spans="1:8" x14ac:dyDescent="0.35">
      <c r="A878" s="2" t="s">
        <v>189</v>
      </c>
      <c r="B878" s="3">
        <v>46227</v>
      </c>
      <c r="C878" s="2" t="s">
        <v>245</v>
      </c>
      <c r="D878" s="2" t="s">
        <v>22</v>
      </c>
      <c r="E878" t="str">
        <f>IF(OR(A878="", B878=""), "Check missing data", IF(COUNTIFS($A$2:A878, A878, $B$2:B878, B878)&gt;1, "Possible Duplicate", "First Occurrence"))</f>
        <v>First Occurrence</v>
      </c>
      <c r="F878" t="str">
        <f t="shared" si="26"/>
        <v>Absent</v>
      </c>
      <c r="H878" t="str">
        <f t="shared" si="27"/>
        <v>IT</v>
      </c>
    </row>
    <row r="879" spans="1:8" x14ac:dyDescent="0.35">
      <c r="A879" s="2" t="s">
        <v>189</v>
      </c>
      <c r="B879" s="3">
        <v>46241</v>
      </c>
      <c r="C879" s="2" t="s">
        <v>246</v>
      </c>
      <c r="D879" s="2" t="s">
        <v>22</v>
      </c>
      <c r="E879" t="str">
        <f>IF(OR(A879="", B879=""), "Check missing data", IF(COUNTIFS($A$2:A879, A879, $B$2:B879, B879)&gt;1, "Possible Duplicate", "First Occurrence"))</f>
        <v>First Occurrence</v>
      </c>
      <c r="F879" t="str">
        <f t="shared" si="26"/>
        <v>Present</v>
      </c>
      <c r="H879" t="str">
        <f t="shared" si="27"/>
        <v>IT</v>
      </c>
    </row>
    <row r="880" spans="1:8" x14ac:dyDescent="0.35">
      <c r="A880" s="2" t="s">
        <v>189</v>
      </c>
      <c r="B880" s="3">
        <v>46223</v>
      </c>
      <c r="C880" s="2" t="s">
        <v>246</v>
      </c>
      <c r="D880" s="2" t="s">
        <v>22</v>
      </c>
      <c r="E880" t="str">
        <f>IF(OR(A880="", B880=""), "Check missing data", IF(COUNTIFS($A$2:A880, A880, $B$2:B880, B880)&gt;1, "Possible Duplicate", "First Occurrence"))</f>
        <v>First Occurrence</v>
      </c>
      <c r="F880" t="str">
        <f t="shared" si="26"/>
        <v>Present</v>
      </c>
      <c r="H880" t="str">
        <f t="shared" si="27"/>
        <v>IT</v>
      </c>
    </row>
    <row r="881" spans="1:8" x14ac:dyDescent="0.35">
      <c r="A881" s="2" t="s">
        <v>189</v>
      </c>
      <c r="B881" s="3">
        <v>46253</v>
      </c>
      <c r="C881" s="2" t="s">
        <v>246</v>
      </c>
      <c r="D881" s="2" t="s">
        <v>22</v>
      </c>
      <c r="E881" t="str">
        <f>IF(OR(A881="", B881=""), "Check missing data", IF(COUNTIFS($A$2:A881, A881, $B$2:B881, B881)&gt;1, "Possible Duplicate", "First Occurrence"))</f>
        <v>First Occurrence</v>
      </c>
      <c r="F881" t="str">
        <f t="shared" si="26"/>
        <v>Present</v>
      </c>
      <c r="H881" t="str">
        <f t="shared" si="27"/>
        <v>IT</v>
      </c>
    </row>
    <row r="882" spans="1:8" x14ac:dyDescent="0.35">
      <c r="A882" s="2" t="s">
        <v>189</v>
      </c>
      <c r="B882" s="3">
        <v>46217</v>
      </c>
      <c r="C882" s="2" t="s">
        <v>246</v>
      </c>
      <c r="D882" s="2" t="s">
        <v>22</v>
      </c>
      <c r="E882" t="str">
        <f>IF(OR(A882="", B882=""), "Check missing data", IF(COUNTIFS($A$2:A882, A882, $B$2:B882, B882)&gt;1, "Possible Duplicate", "First Occurrence"))</f>
        <v>First Occurrence</v>
      </c>
      <c r="F882" t="str">
        <f t="shared" si="26"/>
        <v>Present</v>
      </c>
      <c r="H882" t="str">
        <f t="shared" si="27"/>
        <v>IT</v>
      </c>
    </row>
    <row r="883" spans="1:8" x14ac:dyDescent="0.35">
      <c r="A883" s="2" t="s">
        <v>189</v>
      </c>
      <c r="B883" s="3">
        <v>46283</v>
      </c>
      <c r="C883" s="2" t="s">
        <v>246</v>
      </c>
      <c r="D883" s="2" t="s">
        <v>22</v>
      </c>
      <c r="E883" t="str">
        <f>IF(OR(A883="", B883=""), "Check missing data", IF(COUNTIFS($A$2:A883, A883, $B$2:B883, B883)&gt;1, "Possible Duplicate", "First Occurrence"))</f>
        <v>First Occurrence</v>
      </c>
      <c r="F883" t="str">
        <f t="shared" si="26"/>
        <v>Present</v>
      </c>
      <c r="H883" t="str">
        <f t="shared" si="27"/>
        <v>IT</v>
      </c>
    </row>
    <row r="884" spans="1:8" x14ac:dyDescent="0.35">
      <c r="A884" s="2" t="s">
        <v>189</v>
      </c>
      <c r="B884" s="3">
        <v>46274</v>
      </c>
      <c r="C884" s="2" t="s">
        <v>247</v>
      </c>
      <c r="D884" s="2" t="s">
        <v>22</v>
      </c>
      <c r="E884" t="str">
        <f>IF(OR(A884="", B884=""), "Check missing data", IF(COUNTIFS($A$2:A884, A884, $B$2:B884, B884)&gt;1, "Possible Duplicate", "First Occurrence"))</f>
        <v>First Occurrence</v>
      </c>
      <c r="F884" t="str">
        <f t="shared" si="26"/>
        <v>Late</v>
      </c>
      <c r="H884" t="str">
        <f t="shared" si="27"/>
        <v>IT</v>
      </c>
    </row>
    <row r="885" spans="1:8" x14ac:dyDescent="0.35">
      <c r="A885" s="2" t="s">
        <v>189</v>
      </c>
      <c r="B885" s="3">
        <v>46254</v>
      </c>
      <c r="C885" s="2" t="s">
        <v>245</v>
      </c>
      <c r="D885" s="2" t="s">
        <v>22</v>
      </c>
      <c r="E885" t="str">
        <f>IF(OR(A885="", B885=""), "Check missing data", IF(COUNTIFS($A$2:A885, A885, $B$2:B885, B885)&gt;1, "Possible Duplicate", "First Occurrence"))</f>
        <v>First Occurrence</v>
      </c>
      <c r="F885" t="str">
        <f t="shared" si="26"/>
        <v>Absent</v>
      </c>
      <c r="H885" t="str">
        <f t="shared" si="27"/>
        <v>IT</v>
      </c>
    </row>
    <row r="886" spans="1:8" x14ac:dyDescent="0.35">
      <c r="A886" s="2" t="s">
        <v>189</v>
      </c>
      <c r="B886" s="3">
        <v>46232</v>
      </c>
      <c r="C886" s="2" t="s">
        <v>246</v>
      </c>
      <c r="D886" s="2" t="s">
        <v>22</v>
      </c>
      <c r="E886" t="str">
        <f>IF(OR(A886="", B886=""), "Check missing data", IF(COUNTIFS($A$2:A886, A886, $B$2:B886, B886)&gt;1, "Possible Duplicate", "First Occurrence"))</f>
        <v>First Occurrence</v>
      </c>
      <c r="F886" t="str">
        <f t="shared" si="26"/>
        <v>Present</v>
      </c>
      <c r="H886" t="str">
        <f t="shared" si="27"/>
        <v>IT</v>
      </c>
    </row>
    <row r="887" spans="1:8" x14ac:dyDescent="0.35">
      <c r="A887" s="2" t="s">
        <v>189</v>
      </c>
      <c r="B887" s="3">
        <v>46293</v>
      </c>
      <c r="C887" s="2" t="s">
        <v>245</v>
      </c>
      <c r="D887" s="2" t="s">
        <v>22</v>
      </c>
      <c r="E887" t="str">
        <f>IF(OR(A887="", B887=""), "Check missing data", IF(COUNTIFS($A$2:A887, A887, $B$2:B887, B887)&gt;1, "Possible Duplicate", "First Occurrence"))</f>
        <v>First Occurrence</v>
      </c>
      <c r="F887" t="str">
        <f t="shared" si="26"/>
        <v>Absent</v>
      </c>
      <c r="H887" t="str">
        <f t="shared" si="27"/>
        <v>IT</v>
      </c>
    </row>
    <row r="888" spans="1:8" x14ac:dyDescent="0.35">
      <c r="A888" s="2" t="s">
        <v>189</v>
      </c>
      <c r="B888" s="3">
        <v>46275</v>
      </c>
      <c r="C888" s="2" t="s">
        <v>246</v>
      </c>
      <c r="D888" s="2" t="s">
        <v>22</v>
      </c>
      <c r="E888" t="str">
        <f>IF(OR(A888="", B888=""), "Check missing data", IF(COUNTIFS($A$2:A888, A888, $B$2:B888, B888)&gt;1, "Possible Duplicate", "First Occurrence"))</f>
        <v>First Occurrence</v>
      </c>
      <c r="F888" t="str">
        <f t="shared" si="26"/>
        <v>Present</v>
      </c>
      <c r="H888" t="str">
        <f t="shared" si="27"/>
        <v>IT</v>
      </c>
    </row>
    <row r="889" spans="1:8" x14ac:dyDescent="0.35">
      <c r="A889" s="2" t="s">
        <v>189</v>
      </c>
      <c r="B889" s="3">
        <v>46267</v>
      </c>
      <c r="C889" s="2" t="s">
        <v>246</v>
      </c>
      <c r="D889" s="2" t="s">
        <v>22</v>
      </c>
      <c r="E889" t="str">
        <f>IF(OR(A889="", B889=""), "Check missing data", IF(COUNTIFS($A$2:A889, A889, $B$2:B889, B889)&gt;1, "Possible Duplicate", "First Occurrence"))</f>
        <v>First Occurrence</v>
      </c>
      <c r="F889" t="str">
        <f t="shared" si="26"/>
        <v>Present</v>
      </c>
      <c r="H889" t="str">
        <f t="shared" si="27"/>
        <v>IT</v>
      </c>
    </row>
    <row r="890" spans="1:8" x14ac:dyDescent="0.35">
      <c r="A890" s="2" t="s">
        <v>191</v>
      </c>
      <c r="B890" s="3">
        <v>46210</v>
      </c>
      <c r="C890" s="2" t="s">
        <v>30</v>
      </c>
      <c r="D890" s="2" t="s">
        <v>41</v>
      </c>
      <c r="E890" t="str">
        <f>IF(OR(A890="", B890=""), "Check missing data", IF(COUNTIFS($A$2:A890, A890, $B$2:B890, B890)&gt;1, "Possible Duplicate", "First Occurrence"))</f>
        <v>First Occurrence</v>
      </c>
      <c r="F890" t="str">
        <f t="shared" si="26"/>
        <v>On Leave</v>
      </c>
      <c r="H890" t="str">
        <f t="shared" si="27"/>
        <v>Human Resources</v>
      </c>
    </row>
    <row r="891" spans="1:8" x14ac:dyDescent="0.35">
      <c r="A891" s="2" t="s">
        <v>191</v>
      </c>
      <c r="B891" s="3">
        <v>46205</v>
      </c>
      <c r="C891" s="2" t="s">
        <v>30</v>
      </c>
      <c r="D891" s="2" t="s">
        <v>41</v>
      </c>
      <c r="E891" t="str">
        <f>IF(OR(A891="", B891=""), "Check missing data", IF(COUNTIFS($A$2:A891, A891, $B$2:B891, B891)&gt;1, "Possible Duplicate", "First Occurrence"))</f>
        <v>First Occurrence</v>
      </c>
      <c r="F891" t="str">
        <f t="shared" si="26"/>
        <v>On Leave</v>
      </c>
      <c r="H891" t="str">
        <f t="shared" si="27"/>
        <v>Human Resources</v>
      </c>
    </row>
    <row r="892" spans="1:8" x14ac:dyDescent="0.35">
      <c r="A892" s="2" t="s">
        <v>191</v>
      </c>
      <c r="B892" s="3">
        <v>46254</v>
      </c>
      <c r="C892" s="2" t="s">
        <v>245</v>
      </c>
      <c r="D892" s="2" t="s">
        <v>41</v>
      </c>
      <c r="E892" t="str">
        <f>IF(OR(A892="", B892=""), "Check missing data", IF(COUNTIFS($A$2:A892, A892, $B$2:B892, B892)&gt;1, "Possible Duplicate", "First Occurrence"))</f>
        <v>First Occurrence</v>
      </c>
      <c r="F892" t="str">
        <f t="shared" si="26"/>
        <v>Absent</v>
      </c>
      <c r="H892" t="str">
        <f t="shared" si="27"/>
        <v>Human Resources</v>
      </c>
    </row>
    <row r="893" spans="1:8" x14ac:dyDescent="0.35">
      <c r="A893" s="2" t="s">
        <v>191</v>
      </c>
      <c r="B893" s="3">
        <v>46232</v>
      </c>
      <c r="C893" s="2" t="s">
        <v>247</v>
      </c>
      <c r="D893" s="2" t="s">
        <v>41</v>
      </c>
      <c r="E893" t="str">
        <f>IF(OR(A893="", B893=""), "Check missing data", IF(COUNTIFS($A$2:A893, A893, $B$2:B893, B893)&gt;1, "Possible Duplicate", "First Occurrence"))</f>
        <v>First Occurrence</v>
      </c>
      <c r="F893" t="str">
        <f t="shared" si="26"/>
        <v>Late</v>
      </c>
      <c r="H893" t="str">
        <f t="shared" si="27"/>
        <v>Human Resources</v>
      </c>
    </row>
    <row r="894" spans="1:8" x14ac:dyDescent="0.35">
      <c r="A894" s="2" t="s">
        <v>191</v>
      </c>
      <c r="B894" s="3">
        <v>46227</v>
      </c>
      <c r="C894" s="2" t="s">
        <v>247</v>
      </c>
      <c r="D894" s="2" t="s">
        <v>41</v>
      </c>
      <c r="E894" t="str">
        <f>IF(OR(A894="", B894=""), "Check missing data", IF(COUNTIFS($A$2:A894, A894, $B$2:B894, B894)&gt;1, "Possible Duplicate", "First Occurrence"))</f>
        <v>First Occurrence</v>
      </c>
      <c r="F894" t="str">
        <f t="shared" si="26"/>
        <v>Late</v>
      </c>
      <c r="H894" t="str">
        <f t="shared" si="27"/>
        <v>Human Resources</v>
      </c>
    </row>
    <row r="895" spans="1:8" x14ac:dyDescent="0.35">
      <c r="A895" s="2" t="s">
        <v>191</v>
      </c>
      <c r="B895" s="3">
        <v>46234</v>
      </c>
      <c r="C895" s="2" t="s">
        <v>30</v>
      </c>
      <c r="D895" s="2" t="s">
        <v>41</v>
      </c>
      <c r="E895" t="str">
        <f>IF(OR(A895="", B895=""), "Check missing data", IF(COUNTIFS($A$2:A895, A895, $B$2:B895, B895)&gt;1, "Possible Duplicate", "First Occurrence"))</f>
        <v>First Occurrence</v>
      </c>
      <c r="F895" t="str">
        <f t="shared" si="26"/>
        <v>On Leave</v>
      </c>
      <c r="H895" t="str">
        <f t="shared" si="27"/>
        <v>Human Resources</v>
      </c>
    </row>
    <row r="896" spans="1:8" x14ac:dyDescent="0.35">
      <c r="A896" s="2" t="s">
        <v>191</v>
      </c>
      <c r="B896" s="3">
        <v>46265</v>
      </c>
      <c r="C896" s="2" t="s">
        <v>246</v>
      </c>
      <c r="D896" s="2" t="s">
        <v>41</v>
      </c>
      <c r="E896" t="str">
        <f>IF(OR(A896="", B896=""), "Check missing data", IF(COUNTIFS($A$2:A896, A896, $B$2:B896, B896)&gt;1, "Possible Duplicate", "First Occurrence"))</f>
        <v>First Occurrence</v>
      </c>
      <c r="F896" t="str">
        <f t="shared" si="26"/>
        <v>Present</v>
      </c>
      <c r="H896" t="str">
        <f t="shared" si="27"/>
        <v>Human Resources</v>
      </c>
    </row>
    <row r="897" spans="1:8" x14ac:dyDescent="0.35">
      <c r="A897" s="2" t="s">
        <v>191</v>
      </c>
      <c r="B897" s="3">
        <v>46253</v>
      </c>
      <c r="C897" s="2" t="s">
        <v>246</v>
      </c>
      <c r="D897" s="2" t="s">
        <v>41</v>
      </c>
      <c r="E897" t="str">
        <f>IF(OR(A897="", B897=""), "Check missing data", IF(COUNTIFS($A$2:A897, A897, $B$2:B897, B897)&gt;1, "Possible Duplicate", "First Occurrence"))</f>
        <v>First Occurrence</v>
      </c>
      <c r="F897" t="str">
        <f t="shared" si="26"/>
        <v>Present</v>
      </c>
      <c r="H897" t="str">
        <f t="shared" si="27"/>
        <v>Human Resources</v>
      </c>
    </row>
    <row r="898" spans="1:8" x14ac:dyDescent="0.35">
      <c r="A898" s="2" t="s">
        <v>191</v>
      </c>
      <c r="B898" s="3">
        <v>46269</v>
      </c>
      <c r="C898" s="2" t="s">
        <v>30</v>
      </c>
      <c r="D898" s="2" t="s">
        <v>41</v>
      </c>
      <c r="E898" t="str">
        <f>IF(OR(A898="", B898=""), "Check missing data", IF(COUNTIFS($A$2:A898, A898, $B$2:B898, B898)&gt;1, "Possible Duplicate", "First Occurrence"))</f>
        <v>First Occurrence</v>
      </c>
      <c r="F898" t="str">
        <f t="shared" si="26"/>
        <v>On Leave</v>
      </c>
      <c r="H898" t="str">
        <f t="shared" si="27"/>
        <v>Human Resources</v>
      </c>
    </row>
    <row r="899" spans="1:8" x14ac:dyDescent="0.35">
      <c r="A899" s="2" t="s">
        <v>191</v>
      </c>
      <c r="B899" s="3">
        <v>46268</v>
      </c>
      <c r="C899" s="2" t="s">
        <v>246</v>
      </c>
      <c r="D899" s="2" t="s">
        <v>41</v>
      </c>
      <c r="E899" t="str">
        <f>IF(OR(A899="", B899=""), "Check missing data", IF(COUNTIFS($A$2:A899, A899, $B$2:B899, B899)&gt;1, "Possible Duplicate", "First Occurrence"))</f>
        <v>First Occurrence</v>
      </c>
      <c r="F899" t="str">
        <f t="shared" ref="F899:F962" si="28">PROPER(TRIM(C899))</f>
        <v>Present</v>
      </c>
      <c r="H899" t="str">
        <f t="shared" ref="H899:H962" si="29">TRIM(CLEAN(D899))</f>
        <v>Human Resources</v>
      </c>
    </row>
    <row r="900" spans="1:8" x14ac:dyDescent="0.35">
      <c r="A900" s="2" t="s">
        <v>191</v>
      </c>
      <c r="B900" s="3">
        <v>46206</v>
      </c>
      <c r="C900" s="2" t="s">
        <v>246</v>
      </c>
      <c r="D900" s="2" t="s">
        <v>41</v>
      </c>
      <c r="E900" t="str">
        <f>IF(OR(A900="", B900=""), "Check missing data", IF(COUNTIFS($A$2:A900, A900, $B$2:B900, B900)&gt;1, "Possible Duplicate", "First Occurrence"))</f>
        <v>First Occurrence</v>
      </c>
      <c r="F900" t="str">
        <f t="shared" si="28"/>
        <v>Present</v>
      </c>
      <c r="H900" t="str">
        <f t="shared" si="29"/>
        <v>Human Resources</v>
      </c>
    </row>
    <row r="901" spans="1:8" x14ac:dyDescent="0.35">
      <c r="A901" s="2" t="s">
        <v>191</v>
      </c>
      <c r="B901" s="3">
        <v>46279</v>
      </c>
      <c r="C901" s="2" t="s">
        <v>247</v>
      </c>
      <c r="D901" s="2" t="s">
        <v>41</v>
      </c>
      <c r="E901" t="str">
        <f>IF(OR(A901="", B901=""), "Check missing data", IF(COUNTIFS($A$2:A901, A901, $B$2:B901, B901)&gt;1, "Possible Duplicate", "First Occurrence"))</f>
        <v>First Occurrence</v>
      </c>
      <c r="F901" t="str">
        <f t="shared" si="28"/>
        <v>Late</v>
      </c>
      <c r="H901" t="str">
        <f t="shared" si="29"/>
        <v>Human Resources</v>
      </c>
    </row>
    <row r="902" spans="1:8" x14ac:dyDescent="0.35">
      <c r="A902" s="2" t="s">
        <v>193</v>
      </c>
      <c r="B902" s="3">
        <v>46286</v>
      </c>
      <c r="C902" s="2" t="s">
        <v>247</v>
      </c>
      <c r="D902" s="2" t="s">
        <v>41</v>
      </c>
      <c r="E902" t="str">
        <f>IF(OR(A902="", B902=""), "Check missing data", IF(COUNTIFS($A$2:A902, A902, $B$2:B902, B902)&gt;1, "Possible Duplicate", "First Occurrence"))</f>
        <v>First Occurrence</v>
      </c>
      <c r="F902" t="str">
        <f t="shared" si="28"/>
        <v>Late</v>
      </c>
      <c r="H902" t="str">
        <f t="shared" si="29"/>
        <v>Human Resources</v>
      </c>
    </row>
    <row r="903" spans="1:8" x14ac:dyDescent="0.35">
      <c r="A903" s="2" t="s">
        <v>193</v>
      </c>
      <c r="B903" s="3">
        <v>46281</v>
      </c>
      <c r="C903" s="2" t="s">
        <v>246</v>
      </c>
      <c r="D903" s="2" t="s">
        <v>41</v>
      </c>
      <c r="E903" t="str">
        <f>IF(OR(A903="", B903=""), "Check missing data", IF(COUNTIFS($A$2:A903, A903, $B$2:B903, B903)&gt;1, "Possible Duplicate", "First Occurrence"))</f>
        <v>First Occurrence</v>
      </c>
      <c r="F903" t="str">
        <f t="shared" si="28"/>
        <v>Present</v>
      </c>
      <c r="H903" t="str">
        <f t="shared" si="29"/>
        <v>Human Resources</v>
      </c>
    </row>
    <row r="904" spans="1:8" x14ac:dyDescent="0.35">
      <c r="A904" s="2" t="s">
        <v>193</v>
      </c>
      <c r="B904" s="3">
        <v>46247</v>
      </c>
      <c r="C904" s="2" t="s">
        <v>246</v>
      </c>
      <c r="D904" s="2" t="s">
        <v>41</v>
      </c>
      <c r="E904" t="str">
        <f>IF(OR(A904="", B904=""), "Check missing data", IF(COUNTIFS($A$2:A904, A904, $B$2:B904, B904)&gt;1, "Possible Duplicate", "First Occurrence"))</f>
        <v>First Occurrence</v>
      </c>
      <c r="F904" t="str">
        <f t="shared" si="28"/>
        <v>Present</v>
      </c>
      <c r="H904" t="str">
        <f t="shared" si="29"/>
        <v>Human Resources</v>
      </c>
    </row>
    <row r="905" spans="1:8" x14ac:dyDescent="0.35">
      <c r="A905" s="2" t="s">
        <v>193</v>
      </c>
      <c r="B905" s="3">
        <v>46219</v>
      </c>
      <c r="C905" s="2" t="s">
        <v>246</v>
      </c>
      <c r="D905" s="2" t="s">
        <v>41</v>
      </c>
      <c r="E905" t="str">
        <f>IF(OR(A905="", B905=""), "Check missing data", IF(COUNTIFS($A$2:A905, A905, $B$2:B905, B905)&gt;1, "Possible Duplicate", "First Occurrence"))</f>
        <v>First Occurrence</v>
      </c>
      <c r="F905" t="str">
        <f t="shared" si="28"/>
        <v>Present</v>
      </c>
      <c r="H905" t="str">
        <f t="shared" si="29"/>
        <v>Human Resources</v>
      </c>
    </row>
    <row r="906" spans="1:8" x14ac:dyDescent="0.35">
      <c r="A906" s="2" t="s">
        <v>193</v>
      </c>
      <c r="B906" s="3">
        <v>46220</v>
      </c>
      <c r="C906" s="2" t="s">
        <v>246</v>
      </c>
      <c r="D906" s="2" t="s">
        <v>41</v>
      </c>
      <c r="E906" t="str">
        <f>IF(OR(A906="", B906=""), "Check missing data", IF(COUNTIFS($A$2:A906, A906, $B$2:B906, B906)&gt;1, "Possible Duplicate", "First Occurrence"))</f>
        <v>First Occurrence</v>
      </c>
      <c r="F906" t="str">
        <f t="shared" si="28"/>
        <v>Present</v>
      </c>
      <c r="H906" t="str">
        <f t="shared" si="29"/>
        <v>Human Resources</v>
      </c>
    </row>
    <row r="907" spans="1:8" x14ac:dyDescent="0.35">
      <c r="A907" s="2" t="s">
        <v>193</v>
      </c>
      <c r="B907" s="3">
        <v>46232</v>
      </c>
      <c r="C907" s="2" t="s">
        <v>247</v>
      </c>
      <c r="D907" s="2" t="s">
        <v>41</v>
      </c>
      <c r="E907" t="str">
        <f>IF(OR(A907="", B907=""), "Check missing data", IF(COUNTIFS($A$2:A907, A907, $B$2:B907, B907)&gt;1, "Possible Duplicate", "First Occurrence"))</f>
        <v>First Occurrence</v>
      </c>
      <c r="F907" t="str">
        <f t="shared" si="28"/>
        <v>Late</v>
      </c>
      <c r="H907" t="str">
        <f t="shared" si="29"/>
        <v>Human Resources</v>
      </c>
    </row>
    <row r="908" spans="1:8" x14ac:dyDescent="0.35">
      <c r="A908" s="2" t="s">
        <v>193</v>
      </c>
      <c r="B908" s="3">
        <v>46266</v>
      </c>
      <c r="C908" s="2" t="s">
        <v>30</v>
      </c>
      <c r="D908" s="2" t="s">
        <v>41</v>
      </c>
      <c r="E908" t="str">
        <f>IF(OR(A908="", B908=""), "Check missing data", IF(COUNTIFS($A$2:A908, A908, $B$2:B908, B908)&gt;1, "Possible Duplicate", "First Occurrence"))</f>
        <v>First Occurrence</v>
      </c>
      <c r="F908" t="str">
        <f t="shared" si="28"/>
        <v>On Leave</v>
      </c>
      <c r="H908" t="str">
        <f t="shared" si="29"/>
        <v>Human Resources</v>
      </c>
    </row>
    <row r="909" spans="1:8" x14ac:dyDescent="0.35">
      <c r="A909" s="2" t="s">
        <v>193</v>
      </c>
      <c r="B909" s="3">
        <v>46241</v>
      </c>
      <c r="C909" s="2" t="s">
        <v>30</v>
      </c>
      <c r="D909" s="2" t="s">
        <v>41</v>
      </c>
      <c r="E909" t="str">
        <f>IF(OR(A909="", B909=""), "Check missing data", IF(COUNTIFS($A$2:A909, A909, $B$2:B909, B909)&gt;1, "Possible Duplicate", "First Occurrence"))</f>
        <v>First Occurrence</v>
      </c>
      <c r="F909" t="str">
        <f t="shared" si="28"/>
        <v>On Leave</v>
      </c>
      <c r="H909" t="str">
        <f t="shared" si="29"/>
        <v>Human Resources</v>
      </c>
    </row>
    <row r="910" spans="1:8" x14ac:dyDescent="0.35">
      <c r="A910" s="2" t="s">
        <v>193</v>
      </c>
      <c r="B910" s="3">
        <v>46205</v>
      </c>
      <c r="C910" s="2" t="s">
        <v>245</v>
      </c>
      <c r="D910" s="2" t="s">
        <v>41</v>
      </c>
      <c r="E910" t="str">
        <f>IF(OR(A910="", B910=""), "Check missing data", IF(COUNTIFS($A$2:A910, A910, $B$2:B910, B910)&gt;1, "Possible Duplicate", "First Occurrence"))</f>
        <v>First Occurrence</v>
      </c>
      <c r="F910" t="str">
        <f t="shared" si="28"/>
        <v>Absent</v>
      </c>
      <c r="H910" t="str">
        <f t="shared" si="29"/>
        <v>Human Resources</v>
      </c>
    </row>
    <row r="911" spans="1:8" x14ac:dyDescent="0.35">
      <c r="A911" s="2" t="s">
        <v>193</v>
      </c>
      <c r="B911" s="3">
        <v>46211</v>
      </c>
      <c r="C911" s="2" t="s">
        <v>30</v>
      </c>
      <c r="D911" s="2" t="s">
        <v>41</v>
      </c>
      <c r="E911" t="str">
        <f>IF(OR(A911="", B911=""), "Check missing data", IF(COUNTIFS($A$2:A911, A911, $B$2:B911, B911)&gt;1, "Possible Duplicate", "First Occurrence"))</f>
        <v>First Occurrence</v>
      </c>
      <c r="F911" t="str">
        <f t="shared" si="28"/>
        <v>On Leave</v>
      </c>
      <c r="H911" t="str">
        <f t="shared" si="29"/>
        <v>Human Resources</v>
      </c>
    </row>
    <row r="912" spans="1:8" x14ac:dyDescent="0.35">
      <c r="A912" s="2" t="s">
        <v>193</v>
      </c>
      <c r="B912" s="3">
        <v>46244</v>
      </c>
      <c r="C912" s="2" t="s">
        <v>246</v>
      </c>
      <c r="D912" s="2" t="s">
        <v>41</v>
      </c>
      <c r="E912" t="str">
        <f>IF(OR(A912="", B912=""), "Check missing data", IF(COUNTIFS($A$2:A912, A912, $B$2:B912, B912)&gt;1, "Possible Duplicate", "First Occurrence"))</f>
        <v>First Occurrence</v>
      </c>
      <c r="F912" t="str">
        <f t="shared" si="28"/>
        <v>Present</v>
      </c>
      <c r="H912" t="str">
        <f t="shared" si="29"/>
        <v>Human Resources</v>
      </c>
    </row>
    <row r="913" spans="1:8" x14ac:dyDescent="0.35">
      <c r="A913" s="2" t="s">
        <v>193</v>
      </c>
      <c r="B913" s="3">
        <v>46252</v>
      </c>
      <c r="C913" s="2" t="s">
        <v>247</v>
      </c>
      <c r="D913" s="2" t="s">
        <v>41</v>
      </c>
      <c r="E913" t="str">
        <f>IF(OR(A913="", B913=""), "Check missing data", IF(COUNTIFS($A$2:A913, A913, $B$2:B913, B913)&gt;1, "Possible Duplicate", "First Occurrence"))</f>
        <v>First Occurrence</v>
      </c>
      <c r="F913" t="str">
        <f t="shared" si="28"/>
        <v>Late</v>
      </c>
      <c r="H913" t="str">
        <f t="shared" si="29"/>
        <v>Human Resources</v>
      </c>
    </row>
    <row r="914" spans="1:8" x14ac:dyDescent="0.35">
      <c r="A914" s="2" t="s">
        <v>195</v>
      </c>
      <c r="B914" s="3">
        <v>46259</v>
      </c>
      <c r="C914" s="2" t="s">
        <v>247</v>
      </c>
      <c r="D914" s="2" t="s">
        <v>37</v>
      </c>
      <c r="E914" t="str">
        <f>IF(OR(A914="", B914=""), "Check missing data", IF(COUNTIFS($A$2:A914, A914, $B$2:B914, B914)&gt;1, "Possible Duplicate", "First Occurrence"))</f>
        <v>First Occurrence</v>
      </c>
      <c r="F914" t="str">
        <f t="shared" si="28"/>
        <v>Late</v>
      </c>
      <c r="H914" t="str">
        <f t="shared" si="29"/>
        <v>Customer Support</v>
      </c>
    </row>
    <row r="915" spans="1:8" x14ac:dyDescent="0.35">
      <c r="A915" s="2" t="s">
        <v>195</v>
      </c>
      <c r="B915" s="3">
        <v>46204</v>
      </c>
      <c r="C915" s="2" t="s">
        <v>246</v>
      </c>
      <c r="D915" s="2" t="s">
        <v>37</v>
      </c>
      <c r="E915" t="str">
        <f>IF(OR(A915="", B915=""), "Check missing data", IF(COUNTIFS($A$2:A915, A915, $B$2:B915, B915)&gt;1, "Possible Duplicate", "First Occurrence"))</f>
        <v>First Occurrence</v>
      </c>
      <c r="F915" t="str">
        <f t="shared" si="28"/>
        <v>Present</v>
      </c>
      <c r="H915" t="str">
        <f t="shared" si="29"/>
        <v>Customer Support</v>
      </c>
    </row>
    <row r="916" spans="1:8" x14ac:dyDescent="0.35">
      <c r="A916" s="2" t="s">
        <v>195</v>
      </c>
      <c r="B916" s="3">
        <v>46231</v>
      </c>
      <c r="C916" s="2" t="s">
        <v>246</v>
      </c>
      <c r="D916" s="2" t="s">
        <v>37</v>
      </c>
      <c r="E916" t="str">
        <f>IF(OR(A916="", B916=""), "Check missing data", IF(COUNTIFS($A$2:A916, A916, $B$2:B916, B916)&gt;1, "Possible Duplicate", "First Occurrence"))</f>
        <v>First Occurrence</v>
      </c>
      <c r="F916" t="str">
        <f t="shared" si="28"/>
        <v>Present</v>
      </c>
      <c r="H916" t="str">
        <f t="shared" si="29"/>
        <v>Customer Support</v>
      </c>
    </row>
    <row r="917" spans="1:8" x14ac:dyDescent="0.35">
      <c r="A917" s="2" t="s">
        <v>195</v>
      </c>
      <c r="B917" s="3">
        <v>46251</v>
      </c>
      <c r="C917" s="2" t="s">
        <v>246</v>
      </c>
      <c r="D917" s="2" t="s">
        <v>37</v>
      </c>
      <c r="E917" t="str">
        <f>IF(OR(A917="", B917=""), "Check missing data", IF(COUNTIFS($A$2:A917, A917, $B$2:B917, B917)&gt;1, "Possible Duplicate", "First Occurrence"))</f>
        <v>First Occurrence</v>
      </c>
      <c r="F917" t="str">
        <f t="shared" si="28"/>
        <v>Present</v>
      </c>
      <c r="H917" t="str">
        <f t="shared" si="29"/>
        <v>Customer Support</v>
      </c>
    </row>
    <row r="918" spans="1:8" x14ac:dyDescent="0.35">
      <c r="A918" s="2" t="s">
        <v>195</v>
      </c>
      <c r="B918" s="3">
        <v>46239</v>
      </c>
      <c r="C918" s="2" t="s">
        <v>246</v>
      </c>
      <c r="D918" s="2" t="s">
        <v>37</v>
      </c>
      <c r="E918" t="str">
        <f>IF(OR(A918="", B918=""), "Check missing data", IF(COUNTIFS($A$2:A918, A918, $B$2:B918, B918)&gt;1, "Possible Duplicate", "First Occurrence"))</f>
        <v>First Occurrence</v>
      </c>
      <c r="F918" t="str">
        <f t="shared" si="28"/>
        <v>Present</v>
      </c>
      <c r="H918" t="str">
        <f t="shared" si="29"/>
        <v>Customer Support</v>
      </c>
    </row>
    <row r="919" spans="1:8" x14ac:dyDescent="0.35">
      <c r="A919" s="2" t="s">
        <v>195</v>
      </c>
      <c r="B919" s="3">
        <v>46281</v>
      </c>
      <c r="C919" s="2" t="s">
        <v>245</v>
      </c>
      <c r="D919" s="2" t="s">
        <v>37</v>
      </c>
      <c r="E919" t="str">
        <f>IF(OR(A919="", B919=""), "Check missing data", IF(COUNTIFS($A$2:A919, A919, $B$2:B919, B919)&gt;1, "Possible Duplicate", "First Occurrence"))</f>
        <v>First Occurrence</v>
      </c>
      <c r="F919" t="str">
        <f t="shared" si="28"/>
        <v>Absent</v>
      </c>
      <c r="H919" t="str">
        <f t="shared" si="29"/>
        <v>Customer Support</v>
      </c>
    </row>
    <row r="920" spans="1:8" x14ac:dyDescent="0.35">
      <c r="A920" s="2" t="s">
        <v>195</v>
      </c>
      <c r="B920" s="3">
        <v>46272</v>
      </c>
      <c r="C920" s="2" t="s">
        <v>247</v>
      </c>
      <c r="D920" s="2" t="s">
        <v>37</v>
      </c>
      <c r="E920" t="str">
        <f>IF(OR(A920="", B920=""), "Check missing data", IF(COUNTIFS($A$2:A920, A920, $B$2:B920, B920)&gt;1, "Possible Duplicate", "First Occurrence"))</f>
        <v>First Occurrence</v>
      </c>
      <c r="F920" t="str">
        <f t="shared" si="28"/>
        <v>Late</v>
      </c>
      <c r="H920" t="str">
        <f t="shared" si="29"/>
        <v>Customer Support</v>
      </c>
    </row>
    <row r="921" spans="1:8" x14ac:dyDescent="0.35">
      <c r="A921" s="2" t="s">
        <v>195</v>
      </c>
      <c r="B921" s="3">
        <v>46213</v>
      </c>
      <c r="C921" s="2" t="s">
        <v>246</v>
      </c>
      <c r="D921" s="2" t="s">
        <v>37</v>
      </c>
      <c r="E921" t="str">
        <f>IF(OR(A921="", B921=""), "Check missing data", IF(COUNTIFS($A$2:A921, A921, $B$2:B921, B921)&gt;1, "Possible Duplicate", "First Occurrence"))</f>
        <v>First Occurrence</v>
      </c>
      <c r="F921" t="str">
        <f t="shared" si="28"/>
        <v>Present</v>
      </c>
      <c r="H921" t="str">
        <f t="shared" si="29"/>
        <v>Customer Support</v>
      </c>
    </row>
    <row r="922" spans="1:8" x14ac:dyDescent="0.35">
      <c r="A922" s="2" t="s">
        <v>195</v>
      </c>
      <c r="B922" s="3">
        <v>46253</v>
      </c>
      <c r="C922" s="2" t="s">
        <v>30</v>
      </c>
      <c r="D922" s="2" t="s">
        <v>37</v>
      </c>
      <c r="E922" t="str">
        <f>IF(OR(A922="", B922=""), "Check missing data", IF(COUNTIFS($A$2:A922, A922, $B$2:B922, B922)&gt;1, "Possible Duplicate", "First Occurrence"))</f>
        <v>First Occurrence</v>
      </c>
      <c r="F922" t="str">
        <f t="shared" si="28"/>
        <v>On Leave</v>
      </c>
      <c r="H922" t="str">
        <f t="shared" si="29"/>
        <v>Customer Support</v>
      </c>
    </row>
    <row r="923" spans="1:8" x14ac:dyDescent="0.35">
      <c r="A923" s="2" t="s">
        <v>195</v>
      </c>
      <c r="B923" s="3">
        <v>46241</v>
      </c>
      <c r="C923" s="2" t="s">
        <v>245</v>
      </c>
      <c r="D923" s="2" t="s">
        <v>37</v>
      </c>
      <c r="E923" t="str">
        <f>IF(OR(A923="", B923=""), "Check missing data", IF(COUNTIFS($A$2:A923, A923, $B$2:B923, B923)&gt;1, "Possible Duplicate", "First Occurrence"))</f>
        <v>First Occurrence</v>
      </c>
      <c r="F923" t="str">
        <f t="shared" si="28"/>
        <v>Absent</v>
      </c>
      <c r="H923" t="str">
        <f t="shared" si="29"/>
        <v>Customer Support</v>
      </c>
    </row>
    <row r="924" spans="1:8" x14ac:dyDescent="0.35">
      <c r="A924" s="2" t="s">
        <v>195</v>
      </c>
      <c r="B924" s="3">
        <v>46269</v>
      </c>
      <c r="C924" s="2" t="s">
        <v>30</v>
      </c>
      <c r="D924" s="2" t="s">
        <v>37</v>
      </c>
      <c r="E924" t="str">
        <f>IF(OR(A924="", B924=""), "Check missing data", IF(COUNTIFS($A$2:A924, A924, $B$2:B924, B924)&gt;1, "Possible Duplicate", "First Occurrence"))</f>
        <v>First Occurrence</v>
      </c>
      <c r="F924" t="str">
        <f t="shared" si="28"/>
        <v>On Leave</v>
      </c>
      <c r="H924" t="str">
        <f t="shared" si="29"/>
        <v>Customer Support</v>
      </c>
    </row>
    <row r="925" spans="1:8" x14ac:dyDescent="0.35">
      <c r="A925" s="2" t="s">
        <v>195</v>
      </c>
      <c r="B925" s="3">
        <v>46230</v>
      </c>
      <c r="C925" s="2" t="s">
        <v>247</v>
      </c>
      <c r="D925" s="2" t="s">
        <v>37</v>
      </c>
      <c r="E925" t="str">
        <f>IF(OR(A925="", B925=""), "Check missing data", IF(COUNTIFS($A$2:A925, A925, $B$2:B925, B925)&gt;1, "Possible Duplicate", "First Occurrence"))</f>
        <v>First Occurrence</v>
      </c>
      <c r="F925" t="str">
        <f t="shared" si="28"/>
        <v>Late</v>
      </c>
      <c r="H925" t="str">
        <f t="shared" si="29"/>
        <v>Customer Support</v>
      </c>
    </row>
    <row r="926" spans="1:8" x14ac:dyDescent="0.35">
      <c r="A926" s="2" t="s">
        <v>197</v>
      </c>
      <c r="B926" s="3">
        <v>46262</v>
      </c>
      <c r="C926" s="2" t="s">
        <v>30</v>
      </c>
      <c r="D926" s="2" t="s">
        <v>11</v>
      </c>
      <c r="E926" t="str">
        <f>IF(OR(A926="", B926=""), "Check missing data", IF(COUNTIFS($A$2:A926, A926, $B$2:B926, B926)&gt;1, "Possible Duplicate", "First Occurrence"))</f>
        <v>First Occurrence</v>
      </c>
      <c r="F926" t="str">
        <f t="shared" si="28"/>
        <v>On Leave</v>
      </c>
      <c r="H926" t="str">
        <f t="shared" si="29"/>
        <v>Operations</v>
      </c>
    </row>
    <row r="927" spans="1:8" x14ac:dyDescent="0.35">
      <c r="A927" s="2" t="s">
        <v>197</v>
      </c>
      <c r="B927" s="3">
        <v>46246</v>
      </c>
      <c r="C927" s="2" t="s">
        <v>246</v>
      </c>
      <c r="D927" s="2" t="s">
        <v>11</v>
      </c>
      <c r="E927" t="str">
        <f>IF(OR(A927="", B927=""), "Check missing data", IF(COUNTIFS($A$2:A927, A927, $B$2:B927, B927)&gt;1, "Possible Duplicate", "First Occurrence"))</f>
        <v>First Occurrence</v>
      </c>
      <c r="F927" t="str">
        <f t="shared" si="28"/>
        <v>Present</v>
      </c>
      <c r="H927" t="str">
        <f t="shared" si="29"/>
        <v>Operations</v>
      </c>
    </row>
    <row r="928" spans="1:8" x14ac:dyDescent="0.35">
      <c r="A928" s="2" t="s">
        <v>197</v>
      </c>
      <c r="B928" s="3">
        <v>46288</v>
      </c>
      <c r="C928" s="2" t="s">
        <v>246</v>
      </c>
      <c r="D928" s="2" t="s">
        <v>11</v>
      </c>
      <c r="E928" t="str">
        <f>IF(OR(A928="", B928=""), "Check missing data", IF(COUNTIFS($A$2:A928, A928, $B$2:B928, B928)&gt;1, "Possible Duplicate", "First Occurrence"))</f>
        <v>First Occurrence</v>
      </c>
      <c r="F928" t="str">
        <f t="shared" si="28"/>
        <v>Present</v>
      </c>
      <c r="H928" t="str">
        <f t="shared" si="29"/>
        <v>Operations</v>
      </c>
    </row>
    <row r="929" spans="1:8" x14ac:dyDescent="0.35">
      <c r="A929" s="2" t="s">
        <v>197</v>
      </c>
      <c r="B929" s="3">
        <v>46247</v>
      </c>
      <c r="C929" s="2" t="s">
        <v>246</v>
      </c>
      <c r="D929" s="2" t="s">
        <v>11</v>
      </c>
      <c r="E929" t="str">
        <f>IF(OR(A929="", B929=""), "Check missing data", IF(COUNTIFS($A$2:A929, A929, $B$2:B929, B929)&gt;1, "Possible Duplicate", "First Occurrence"))</f>
        <v>First Occurrence</v>
      </c>
      <c r="F929" t="str">
        <f t="shared" si="28"/>
        <v>Present</v>
      </c>
      <c r="H929" t="str">
        <f t="shared" si="29"/>
        <v>Operations</v>
      </c>
    </row>
    <row r="930" spans="1:8" x14ac:dyDescent="0.35">
      <c r="A930" s="2" t="s">
        <v>197</v>
      </c>
      <c r="B930" s="3">
        <v>46259</v>
      </c>
      <c r="C930" s="2" t="s">
        <v>246</v>
      </c>
      <c r="D930" s="2" t="s">
        <v>11</v>
      </c>
      <c r="E930" t="str">
        <f>IF(OR(A930="", B930=""), "Check missing data", IF(COUNTIFS($A$2:A930, A930, $B$2:B930, B930)&gt;1, "Possible Duplicate", "First Occurrence"))</f>
        <v>First Occurrence</v>
      </c>
      <c r="F930" t="str">
        <f t="shared" si="28"/>
        <v>Present</v>
      </c>
      <c r="H930" t="str">
        <f t="shared" si="29"/>
        <v>Operations</v>
      </c>
    </row>
    <row r="931" spans="1:8" x14ac:dyDescent="0.35">
      <c r="A931" s="2" t="s">
        <v>197</v>
      </c>
      <c r="B931" s="3">
        <v>46261</v>
      </c>
      <c r="C931" s="2" t="s">
        <v>30</v>
      </c>
      <c r="D931" s="2" t="s">
        <v>11</v>
      </c>
      <c r="E931" t="str">
        <f>IF(OR(A931="", B931=""), "Check missing data", IF(COUNTIFS($A$2:A931, A931, $B$2:B931, B931)&gt;1, "Possible Duplicate", "First Occurrence"))</f>
        <v>First Occurrence</v>
      </c>
      <c r="F931" t="str">
        <f t="shared" si="28"/>
        <v>On Leave</v>
      </c>
      <c r="H931" t="str">
        <f t="shared" si="29"/>
        <v>Operations</v>
      </c>
    </row>
    <row r="932" spans="1:8" x14ac:dyDescent="0.35">
      <c r="A932" s="2" t="s">
        <v>197</v>
      </c>
      <c r="B932" s="3">
        <v>46253</v>
      </c>
      <c r="C932" s="2" t="s">
        <v>30</v>
      </c>
      <c r="D932" s="2" t="s">
        <v>11</v>
      </c>
      <c r="E932" t="str">
        <f>IF(OR(A932="", B932=""), "Check missing data", IF(COUNTIFS($A$2:A932, A932, $B$2:B932, B932)&gt;1, "Possible Duplicate", "First Occurrence"))</f>
        <v>First Occurrence</v>
      </c>
      <c r="F932" t="str">
        <f t="shared" si="28"/>
        <v>On Leave</v>
      </c>
      <c r="H932" t="str">
        <f t="shared" si="29"/>
        <v>Operations</v>
      </c>
    </row>
    <row r="933" spans="1:8" x14ac:dyDescent="0.35">
      <c r="A933" s="2" t="s">
        <v>197</v>
      </c>
      <c r="B933" s="3">
        <v>46260</v>
      </c>
      <c r="C933" s="2" t="s">
        <v>247</v>
      </c>
      <c r="D933" s="2" t="s">
        <v>11</v>
      </c>
      <c r="E933" t="str">
        <f>IF(OR(A933="", B933=""), "Check missing data", IF(COUNTIFS($A$2:A933, A933, $B$2:B933, B933)&gt;1, "Possible Duplicate", "First Occurrence"))</f>
        <v>First Occurrence</v>
      </c>
      <c r="F933" t="str">
        <f t="shared" si="28"/>
        <v>Late</v>
      </c>
      <c r="H933" t="str">
        <f t="shared" si="29"/>
        <v>Operations</v>
      </c>
    </row>
    <row r="934" spans="1:8" x14ac:dyDescent="0.35">
      <c r="A934" s="2" t="s">
        <v>197</v>
      </c>
      <c r="B934" s="3">
        <v>46273</v>
      </c>
      <c r="C934" s="2" t="s">
        <v>247</v>
      </c>
      <c r="D934" s="2" t="s">
        <v>11</v>
      </c>
      <c r="E934" t="str">
        <f>IF(OR(A934="", B934=""), "Check missing data", IF(COUNTIFS($A$2:A934, A934, $B$2:B934, B934)&gt;1, "Possible Duplicate", "First Occurrence"))</f>
        <v>First Occurrence</v>
      </c>
      <c r="F934" t="str">
        <f t="shared" si="28"/>
        <v>Late</v>
      </c>
      <c r="H934" t="str">
        <f t="shared" si="29"/>
        <v>Operations</v>
      </c>
    </row>
    <row r="935" spans="1:8" x14ac:dyDescent="0.35">
      <c r="A935" s="2" t="s">
        <v>197</v>
      </c>
      <c r="B935" s="3">
        <v>46245</v>
      </c>
      <c r="C935" s="2" t="s">
        <v>247</v>
      </c>
      <c r="D935" s="2" t="s">
        <v>11</v>
      </c>
      <c r="E935" t="str">
        <f>IF(OR(A935="", B935=""), "Check missing data", IF(COUNTIFS($A$2:A935, A935, $B$2:B935, B935)&gt;1, "Possible Duplicate", "First Occurrence"))</f>
        <v>First Occurrence</v>
      </c>
      <c r="F935" t="str">
        <f t="shared" si="28"/>
        <v>Late</v>
      </c>
      <c r="H935" t="str">
        <f t="shared" si="29"/>
        <v>Operations</v>
      </c>
    </row>
    <row r="936" spans="1:8" x14ac:dyDescent="0.35">
      <c r="A936" s="2" t="s">
        <v>197</v>
      </c>
      <c r="B936" s="3">
        <v>46295</v>
      </c>
      <c r="C936" s="2" t="s">
        <v>246</v>
      </c>
      <c r="D936" s="2" t="s">
        <v>11</v>
      </c>
      <c r="E936" t="str">
        <f>IF(OR(A936="", B936=""), "Check missing data", IF(COUNTIFS($A$2:A936, A936, $B$2:B936, B936)&gt;1, "Possible Duplicate", "First Occurrence"))</f>
        <v>First Occurrence</v>
      </c>
      <c r="F936" t="str">
        <f t="shared" si="28"/>
        <v>Present</v>
      </c>
      <c r="H936" t="str">
        <f t="shared" si="29"/>
        <v>Operations</v>
      </c>
    </row>
    <row r="937" spans="1:8" x14ac:dyDescent="0.35">
      <c r="A937" s="2" t="s">
        <v>197</v>
      </c>
      <c r="B937" s="3">
        <v>46244</v>
      </c>
      <c r="C937" s="2" t="s">
        <v>245</v>
      </c>
      <c r="D937" s="2" t="s">
        <v>11</v>
      </c>
      <c r="E937" t="str">
        <f>IF(OR(A937="", B937=""), "Check missing data", IF(COUNTIFS($A$2:A937, A937, $B$2:B937, B937)&gt;1, "Possible Duplicate", "First Occurrence"))</f>
        <v>First Occurrence</v>
      </c>
      <c r="F937" t="str">
        <f t="shared" si="28"/>
        <v>Absent</v>
      </c>
      <c r="H937" t="str">
        <f t="shared" si="29"/>
        <v>Operations</v>
      </c>
    </row>
    <row r="938" spans="1:8" x14ac:dyDescent="0.35">
      <c r="A938" s="2" t="s">
        <v>199</v>
      </c>
      <c r="B938" s="3">
        <v>46245</v>
      </c>
      <c r="C938" s="2" t="s">
        <v>246</v>
      </c>
      <c r="D938" s="2" t="s">
        <v>17</v>
      </c>
      <c r="E938" t="str">
        <f>IF(OR(A938="", B938=""), "Check missing data", IF(COUNTIFS($A$2:A938, A938, $B$2:B938, B938)&gt;1, "Possible Duplicate", "First Occurrence"))</f>
        <v>First Occurrence</v>
      </c>
      <c r="F938" t="str">
        <f t="shared" si="28"/>
        <v>Present</v>
      </c>
      <c r="H938" t="str">
        <f t="shared" si="29"/>
        <v>Finance</v>
      </c>
    </row>
    <row r="939" spans="1:8" x14ac:dyDescent="0.35">
      <c r="A939" s="2" t="s">
        <v>199</v>
      </c>
      <c r="B939" s="3">
        <v>46217</v>
      </c>
      <c r="C939" s="2" t="s">
        <v>246</v>
      </c>
      <c r="D939" s="2" t="s">
        <v>17</v>
      </c>
      <c r="E939" t="str">
        <f>IF(OR(A939="", B939=""), "Check missing data", IF(COUNTIFS($A$2:A939, A939, $B$2:B939, B939)&gt;1, "Possible Duplicate", "First Occurrence"))</f>
        <v>First Occurrence</v>
      </c>
      <c r="F939" t="str">
        <f t="shared" si="28"/>
        <v>Present</v>
      </c>
      <c r="H939" t="str">
        <f t="shared" si="29"/>
        <v>Finance</v>
      </c>
    </row>
    <row r="940" spans="1:8" x14ac:dyDescent="0.35">
      <c r="A940" s="2" t="s">
        <v>199</v>
      </c>
      <c r="B940" s="3">
        <v>46209</v>
      </c>
      <c r="C940" s="2" t="s">
        <v>246</v>
      </c>
      <c r="D940" s="2" t="s">
        <v>17</v>
      </c>
      <c r="E940" t="str">
        <f>IF(OR(A940="", B940=""), "Check missing data", IF(COUNTIFS($A$2:A940, A940, $B$2:B940, B940)&gt;1, "Possible Duplicate", "First Occurrence"))</f>
        <v>First Occurrence</v>
      </c>
      <c r="F940" t="str">
        <f t="shared" si="28"/>
        <v>Present</v>
      </c>
      <c r="H940" t="str">
        <f t="shared" si="29"/>
        <v>Finance</v>
      </c>
    </row>
    <row r="941" spans="1:8" x14ac:dyDescent="0.35">
      <c r="A941" s="2" t="s">
        <v>199</v>
      </c>
      <c r="B941" s="3">
        <v>46216</v>
      </c>
      <c r="C941" s="2" t="s">
        <v>30</v>
      </c>
      <c r="D941" s="2" t="s">
        <v>17</v>
      </c>
      <c r="E941" t="str">
        <f>IF(OR(A941="", B941=""), "Check missing data", IF(COUNTIFS($A$2:A941, A941, $B$2:B941, B941)&gt;1, "Possible Duplicate", "First Occurrence"))</f>
        <v>First Occurrence</v>
      </c>
      <c r="F941" t="str">
        <f t="shared" si="28"/>
        <v>On Leave</v>
      </c>
      <c r="H941" t="str">
        <f t="shared" si="29"/>
        <v>Finance</v>
      </c>
    </row>
    <row r="942" spans="1:8" x14ac:dyDescent="0.35">
      <c r="A942" s="2" t="s">
        <v>199</v>
      </c>
      <c r="B942" s="3">
        <v>46283</v>
      </c>
      <c r="C942" s="2" t="s">
        <v>247</v>
      </c>
      <c r="D942" s="2" t="s">
        <v>17</v>
      </c>
      <c r="E942" t="str">
        <f>IF(OR(A942="", B942=""), "Check missing data", IF(COUNTIFS($A$2:A942, A942, $B$2:B942, B942)&gt;1, "Possible Duplicate", "First Occurrence"))</f>
        <v>First Occurrence</v>
      </c>
      <c r="F942" t="str">
        <f t="shared" si="28"/>
        <v>Late</v>
      </c>
      <c r="H942" t="str">
        <f t="shared" si="29"/>
        <v>Finance</v>
      </c>
    </row>
    <row r="943" spans="1:8" x14ac:dyDescent="0.35">
      <c r="A943" s="2" t="s">
        <v>199</v>
      </c>
      <c r="B943" s="3">
        <v>46224</v>
      </c>
      <c r="C943" s="2" t="s">
        <v>246</v>
      </c>
      <c r="D943" s="2" t="s">
        <v>17</v>
      </c>
      <c r="E943" t="str">
        <f>IF(OR(A943="", B943=""), "Check missing data", IF(COUNTIFS($A$2:A943, A943, $B$2:B943, B943)&gt;1, "Possible Duplicate", "First Occurrence"))</f>
        <v>First Occurrence</v>
      </c>
      <c r="F943" t="str">
        <f t="shared" si="28"/>
        <v>Present</v>
      </c>
      <c r="H943" t="str">
        <f t="shared" si="29"/>
        <v>Finance</v>
      </c>
    </row>
    <row r="944" spans="1:8" x14ac:dyDescent="0.35">
      <c r="A944" s="2" t="s">
        <v>199</v>
      </c>
      <c r="B944" s="3">
        <v>46238</v>
      </c>
      <c r="C944" s="2" t="s">
        <v>246</v>
      </c>
      <c r="D944" s="2" t="s">
        <v>17</v>
      </c>
      <c r="E944" t="str">
        <f>IF(OR(A944="", B944=""), "Check missing data", IF(COUNTIFS($A$2:A944, A944, $B$2:B944, B944)&gt;1, "Possible Duplicate", "First Occurrence"))</f>
        <v>First Occurrence</v>
      </c>
      <c r="F944" t="str">
        <f t="shared" si="28"/>
        <v>Present</v>
      </c>
      <c r="H944" t="str">
        <f t="shared" si="29"/>
        <v>Finance</v>
      </c>
    </row>
    <row r="945" spans="1:8" x14ac:dyDescent="0.35">
      <c r="A945" s="2" t="s">
        <v>199</v>
      </c>
      <c r="B945" s="3">
        <v>46276</v>
      </c>
      <c r="C945" s="2" t="s">
        <v>246</v>
      </c>
      <c r="D945" s="2" t="s">
        <v>17</v>
      </c>
      <c r="E945" t="str">
        <f>IF(OR(A945="", B945=""), "Check missing data", IF(COUNTIFS($A$2:A945, A945, $B$2:B945, B945)&gt;1, "Possible Duplicate", "First Occurrence"))</f>
        <v>First Occurrence</v>
      </c>
      <c r="F945" t="str">
        <f t="shared" si="28"/>
        <v>Present</v>
      </c>
      <c r="H945" t="str">
        <f t="shared" si="29"/>
        <v>Finance</v>
      </c>
    </row>
    <row r="946" spans="1:8" x14ac:dyDescent="0.35">
      <c r="A946" s="2" t="s">
        <v>199</v>
      </c>
      <c r="B946" s="3">
        <v>46232</v>
      </c>
      <c r="C946" s="2" t="s">
        <v>247</v>
      </c>
      <c r="D946" s="2" t="s">
        <v>17</v>
      </c>
      <c r="E946" t="str">
        <f>IF(OR(A946="", B946=""), "Check missing data", IF(COUNTIFS($A$2:A946, A946, $B$2:B946, B946)&gt;1, "Possible Duplicate", "First Occurrence"))</f>
        <v>First Occurrence</v>
      </c>
      <c r="F946" t="str">
        <f t="shared" si="28"/>
        <v>Late</v>
      </c>
      <c r="H946" t="str">
        <f t="shared" si="29"/>
        <v>Finance</v>
      </c>
    </row>
    <row r="947" spans="1:8" x14ac:dyDescent="0.35">
      <c r="A947" s="2" t="s">
        <v>199</v>
      </c>
      <c r="B947" s="3">
        <v>46281</v>
      </c>
      <c r="C947" s="2" t="s">
        <v>246</v>
      </c>
      <c r="D947" s="2" t="s">
        <v>17</v>
      </c>
      <c r="E947" t="str">
        <f>IF(OR(A947="", B947=""), "Check missing data", IF(COUNTIFS($A$2:A947, A947, $B$2:B947, B947)&gt;1, "Possible Duplicate", "First Occurrence"))</f>
        <v>First Occurrence</v>
      </c>
      <c r="F947" t="str">
        <f t="shared" si="28"/>
        <v>Present</v>
      </c>
      <c r="H947" t="str">
        <f t="shared" si="29"/>
        <v>Finance</v>
      </c>
    </row>
    <row r="948" spans="1:8" x14ac:dyDescent="0.35">
      <c r="A948" s="2" t="s">
        <v>199</v>
      </c>
      <c r="B948" s="3">
        <v>46212</v>
      </c>
      <c r="C948" s="2" t="s">
        <v>246</v>
      </c>
      <c r="D948" s="2" t="s">
        <v>17</v>
      </c>
      <c r="E948" t="str">
        <f>IF(OR(A948="", B948=""), "Check missing data", IF(COUNTIFS($A$2:A948, A948, $B$2:B948, B948)&gt;1, "Possible Duplicate", "First Occurrence"))</f>
        <v>First Occurrence</v>
      </c>
      <c r="F948" t="str">
        <f t="shared" si="28"/>
        <v>Present</v>
      </c>
      <c r="H948" t="str">
        <f t="shared" si="29"/>
        <v>Finance</v>
      </c>
    </row>
    <row r="949" spans="1:8" x14ac:dyDescent="0.35">
      <c r="A949" s="2" t="s">
        <v>199</v>
      </c>
      <c r="B949" s="3">
        <v>46275</v>
      </c>
      <c r="C949" s="2" t="s">
        <v>247</v>
      </c>
      <c r="D949" s="2" t="s">
        <v>17</v>
      </c>
      <c r="E949" t="str">
        <f>IF(OR(A949="", B949=""), "Check missing data", IF(COUNTIFS($A$2:A949, A949, $B$2:B949, B949)&gt;1, "Possible Duplicate", "First Occurrence"))</f>
        <v>First Occurrence</v>
      </c>
      <c r="F949" t="str">
        <f t="shared" si="28"/>
        <v>Late</v>
      </c>
      <c r="H949" t="str">
        <f t="shared" si="29"/>
        <v>Finance</v>
      </c>
    </row>
    <row r="950" spans="1:8" x14ac:dyDescent="0.35">
      <c r="A950" s="2" t="s">
        <v>201</v>
      </c>
      <c r="B950" s="3">
        <v>46252</v>
      </c>
      <c r="C950" s="2" t="s">
        <v>246</v>
      </c>
      <c r="D950" s="2" t="s">
        <v>17</v>
      </c>
      <c r="E950" t="str">
        <f>IF(OR(A950="", B950=""), "Check missing data", IF(COUNTIFS($A$2:A950, A950, $B$2:B950, B950)&gt;1, "Possible Duplicate", "First Occurrence"))</f>
        <v>First Occurrence</v>
      </c>
      <c r="F950" t="str">
        <f t="shared" si="28"/>
        <v>Present</v>
      </c>
      <c r="H950" t="str">
        <f t="shared" si="29"/>
        <v>Finance</v>
      </c>
    </row>
    <row r="951" spans="1:8" x14ac:dyDescent="0.35">
      <c r="A951" s="2" t="s">
        <v>201</v>
      </c>
      <c r="B951" s="3">
        <v>46290</v>
      </c>
      <c r="C951" s="2" t="s">
        <v>246</v>
      </c>
      <c r="D951" s="2" t="s">
        <v>17</v>
      </c>
      <c r="E951" t="str">
        <f>IF(OR(A951="", B951=""), "Check missing data", IF(COUNTIFS($A$2:A951, A951, $B$2:B951, B951)&gt;1, "Possible Duplicate", "First Occurrence"))</f>
        <v>First Occurrence</v>
      </c>
      <c r="F951" t="str">
        <f t="shared" si="28"/>
        <v>Present</v>
      </c>
      <c r="H951" t="str">
        <f t="shared" si="29"/>
        <v>Finance</v>
      </c>
    </row>
    <row r="952" spans="1:8" x14ac:dyDescent="0.35">
      <c r="A952" s="2" t="s">
        <v>201</v>
      </c>
      <c r="B952" s="3">
        <v>46217</v>
      </c>
      <c r="C952" s="2" t="s">
        <v>246</v>
      </c>
      <c r="D952" s="2" t="s">
        <v>17</v>
      </c>
      <c r="E952" t="str">
        <f>IF(OR(A952="", B952=""), "Check missing data", IF(COUNTIFS($A$2:A952, A952, $B$2:B952, B952)&gt;1, "Possible Duplicate", "First Occurrence"))</f>
        <v>First Occurrence</v>
      </c>
      <c r="F952" t="str">
        <f t="shared" si="28"/>
        <v>Present</v>
      </c>
      <c r="H952" t="str">
        <f t="shared" si="29"/>
        <v>Finance</v>
      </c>
    </row>
    <row r="953" spans="1:8" x14ac:dyDescent="0.35">
      <c r="A953" s="2" t="s">
        <v>201</v>
      </c>
      <c r="B953" s="3">
        <v>46233</v>
      </c>
      <c r="C953" s="2" t="s">
        <v>246</v>
      </c>
      <c r="D953" s="2" t="s">
        <v>17</v>
      </c>
      <c r="E953" t="str">
        <f>IF(OR(A953="", B953=""), "Check missing data", IF(COUNTIFS($A$2:A953, A953, $B$2:B953, B953)&gt;1, "Possible Duplicate", "First Occurrence"))</f>
        <v>First Occurrence</v>
      </c>
      <c r="F953" t="str">
        <f t="shared" si="28"/>
        <v>Present</v>
      </c>
      <c r="H953" t="str">
        <f t="shared" si="29"/>
        <v>Finance</v>
      </c>
    </row>
    <row r="954" spans="1:8" x14ac:dyDescent="0.35">
      <c r="A954" s="2" t="s">
        <v>201</v>
      </c>
      <c r="B954" s="3">
        <v>46248</v>
      </c>
      <c r="C954" s="2" t="s">
        <v>246</v>
      </c>
      <c r="D954" s="2" t="s">
        <v>17</v>
      </c>
      <c r="E954" t="str">
        <f>IF(OR(A954="", B954=""), "Check missing data", IF(COUNTIFS($A$2:A954, A954, $B$2:B954, B954)&gt;1, "Possible Duplicate", "First Occurrence"))</f>
        <v>First Occurrence</v>
      </c>
      <c r="F954" t="str">
        <f t="shared" si="28"/>
        <v>Present</v>
      </c>
      <c r="H954" t="str">
        <f t="shared" si="29"/>
        <v>Finance</v>
      </c>
    </row>
    <row r="955" spans="1:8" x14ac:dyDescent="0.35">
      <c r="A955" s="2" t="s">
        <v>201</v>
      </c>
      <c r="B955" s="3">
        <v>46288</v>
      </c>
      <c r="C955" s="2" t="s">
        <v>246</v>
      </c>
      <c r="D955" s="2" t="s">
        <v>17</v>
      </c>
      <c r="E955" t="str">
        <f>IF(OR(A955="", B955=""), "Check missing data", IF(COUNTIFS($A$2:A955, A955, $B$2:B955, B955)&gt;1, "Possible Duplicate", "First Occurrence"))</f>
        <v>First Occurrence</v>
      </c>
      <c r="F955" t="str">
        <f t="shared" si="28"/>
        <v>Present</v>
      </c>
      <c r="H955" t="str">
        <f t="shared" si="29"/>
        <v>Finance</v>
      </c>
    </row>
    <row r="956" spans="1:8" x14ac:dyDescent="0.35">
      <c r="A956" s="2" t="s">
        <v>201</v>
      </c>
      <c r="B956" s="3">
        <v>46255</v>
      </c>
      <c r="C956" s="2" t="s">
        <v>245</v>
      </c>
      <c r="D956" s="2" t="s">
        <v>17</v>
      </c>
      <c r="E956" t="str">
        <f>IF(OR(A956="", B956=""), "Check missing data", IF(COUNTIFS($A$2:A956, A956, $B$2:B956, B956)&gt;1, "Possible Duplicate", "First Occurrence"))</f>
        <v>First Occurrence</v>
      </c>
      <c r="F956" t="str">
        <f t="shared" si="28"/>
        <v>Absent</v>
      </c>
      <c r="H956" t="str">
        <f t="shared" si="29"/>
        <v>Finance</v>
      </c>
    </row>
    <row r="957" spans="1:8" x14ac:dyDescent="0.35">
      <c r="A957" s="2" t="s">
        <v>201</v>
      </c>
      <c r="B957" s="3">
        <v>46210</v>
      </c>
      <c r="C957" s="2" t="s">
        <v>246</v>
      </c>
      <c r="D957" s="2" t="s">
        <v>17</v>
      </c>
      <c r="E957" t="str">
        <f>IF(OR(A957="", B957=""), "Check missing data", IF(COUNTIFS($A$2:A957, A957, $B$2:B957, B957)&gt;1, "Possible Duplicate", "First Occurrence"))</f>
        <v>First Occurrence</v>
      </c>
      <c r="F957" t="str">
        <f t="shared" si="28"/>
        <v>Present</v>
      </c>
      <c r="H957" t="str">
        <f t="shared" si="29"/>
        <v>Finance</v>
      </c>
    </row>
    <row r="958" spans="1:8" x14ac:dyDescent="0.35">
      <c r="A958" s="2" t="s">
        <v>201</v>
      </c>
      <c r="B958" s="3">
        <v>46224</v>
      </c>
      <c r="C958" s="2" t="s">
        <v>246</v>
      </c>
      <c r="D958" s="2" t="s">
        <v>17</v>
      </c>
      <c r="E958" t="str">
        <f>IF(OR(A958="", B958=""), "Check missing data", IF(COUNTIFS($A$2:A958, A958, $B$2:B958, B958)&gt;1, "Possible Duplicate", "First Occurrence"))</f>
        <v>First Occurrence</v>
      </c>
      <c r="F958" t="str">
        <f t="shared" si="28"/>
        <v>Present</v>
      </c>
      <c r="H958" t="str">
        <f t="shared" si="29"/>
        <v>Finance</v>
      </c>
    </row>
    <row r="959" spans="1:8" x14ac:dyDescent="0.35">
      <c r="A959" s="2" t="s">
        <v>201</v>
      </c>
      <c r="B959" s="3">
        <v>46225</v>
      </c>
      <c r="C959" s="2" t="s">
        <v>246</v>
      </c>
      <c r="D959" s="2" t="s">
        <v>17</v>
      </c>
      <c r="E959" t="str">
        <f>IF(OR(A959="", B959=""), "Check missing data", IF(COUNTIFS($A$2:A959, A959, $B$2:B959, B959)&gt;1, "Possible Duplicate", "First Occurrence"))</f>
        <v>First Occurrence</v>
      </c>
      <c r="F959" t="str">
        <f t="shared" si="28"/>
        <v>Present</v>
      </c>
      <c r="H959" t="str">
        <f t="shared" si="29"/>
        <v>Finance</v>
      </c>
    </row>
    <row r="960" spans="1:8" x14ac:dyDescent="0.35">
      <c r="A960" s="2" t="s">
        <v>201</v>
      </c>
      <c r="B960" s="3">
        <v>46247</v>
      </c>
      <c r="C960" s="2" t="s">
        <v>247</v>
      </c>
      <c r="D960" s="2" t="s">
        <v>17</v>
      </c>
      <c r="E960" t="str">
        <f>IF(OR(A960="", B960=""), "Check missing data", IF(COUNTIFS($A$2:A960, A960, $B$2:B960, B960)&gt;1, "Possible Duplicate", "First Occurrence"))</f>
        <v>First Occurrence</v>
      </c>
      <c r="F960" t="str">
        <f t="shared" si="28"/>
        <v>Late</v>
      </c>
      <c r="H960" t="str">
        <f t="shared" si="29"/>
        <v>Finance</v>
      </c>
    </row>
    <row r="961" spans="1:8" x14ac:dyDescent="0.35">
      <c r="A961" s="2" t="s">
        <v>201</v>
      </c>
      <c r="B961" s="3">
        <v>46251</v>
      </c>
      <c r="C961" s="2" t="s">
        <v>247</v>
      </c>
      <c r="D961" s="2" t="s">
        <v>17</v>
      </c>
      <c r="E961" t="str">
        <f>IF(OR(A961="", B961=""), "Check missing data", IF(COUNTIFS($A$2:A961, A961, $B$2:B961, B961)&gt;1, "Possible Duplicate", "First Occurrence"))</f>
        <v>First Occurrence</v>
      </c>
      <c r="F961" t="str">
        <f t="shared" si="28"/>
        <v>Late</v>
      </c>
      <c r="H961" t="str">
        <f t="shared" si="29"/>
        <v>Finance</v>
      </c>
    </row>
    <row r="962" spans="1:8" x14ac:dyDescent="0.35">
      <c r="A962" s="2" t="s">
        <v>203</v>
      </c>
      <c r="B962" s="3">
        <v>46230</v>
      </c>
      <c r="C962" s="2" t="s">
        <v>247</v>
      </c>
      <c r="D962" s="2" t="s">
        <v>37</v>
      </c>
      <c r="E962" t="str">
        <f>IF(OR(A962="", B962=""), "Check missing data", IF(COUNTIFS($A$2:A962, A962, $B$2:B962, B962)&gt;1, "Possible Duplicate", "First Occurrence"))</f>
        <v>First Occurrence</v>
      </c>
      <c r="F962" t="str">
        <f t="shared" si="28"/>
        <v>Late</v>
      </c>
      <c r="H962" t="str">
        <f t="shared" si="29"/>
        <v>Customer Support</v>
      </c>
    </row>
    <row r="963" spans="1:8" x14ac:dyDescent="0.35">
      <c r="A963" s="2" t="s">
        <v>203</v>
      </c>
      <c r="B963" s="3">
        <v>46290</v>
      </c>
      <c r="C963" s="2" t="s">
        <v>247</v>
      </c>
      <c r="D963" s="2" t="s">
        <v>37</v>
      </c>
      <c r="E963" t="str">
        <f>IF(OR(A963="", B963=""), "Check missing data", IF(COUNTIFS($A$2:A963, A963, $B$2:B963, B963)&gt;1, "Possible Duplicate", "First Occurrence"))</f>
        <v>First Occurrence</v>
      </c>
      <c r="F963" t="str">
        <f t="shared" ref="F963:F1026" si="30">PROPER(TRIM(C963))</f>
        <v>Late</v>
      </c>
      <c r="H963" t="str">
        <f t="shared" ref="H963:H1026" si="31">TRIM(CLEAN(D963))</f>
        <v>Customer Support</v>
      </c>
    </row>
    <row r="964" spans="1:8" x14ac:dyDescent="0.35">
      <c r="A964" s="2" t="s">
        <v>203</v>
      </c>
      <c r="B964" s="3">
        <v>46255</v>
      </c>
      <c r="C964" s="2" t="s">
        <v>30</v>
      </c>
      <c r="D964" s="2" t="s">
        <v>37</v>
      </c>
      <c r="E964" t="str">
        <f>IF(OR(A964="", B964=""), "Check missing data", IF(COUNTIFS($A$2:A964, A964, $B$2:B964, B964)&gt;1, "Possible Duplicate", "First Occurrence"))</f>
        <v>First Occurrence</v>
      </c>
      <c r="F964" t="str">
        <f t="shared" si="30"/>
        <v>On Leave</v>
      </c>
      <c r="H964" t="str">
        <f t="shared" si="31"/>
        <v>Customer Support</v>
      </c>
    </row>
    <row r="965" spans="1:8" x14ac:dyDescent="0.35">
      <c r="A965" s="2" t="s">
        <v>203</v>
      </c>
      <c r="B965" s="3">
        <v>46288</v>
      </c>
      <c r="C965" s="2" t="s">
        <v>246</v>
      </c>
      <c r="D965" s="2" t="s">
        <v>37</v>
      </c>
      <c r="E965" t="str">
        <f>IF(OR(A965="", B965=""), "Check missing data", IF(COUNTIFS($A$2:A965, A965, $B$2:B965, B965)&gt;1, "Possible Duplicate", "First Occurrence"))</f>
        <v>First Occurrence</v>
      </c>
      <c r="F965" t="str">
        <f t="shared" si="30"/>
        <v>Present</v>
      </c>
      <c r="H965" t="str">
        <f t="shared" si="31"/>
        <v>Customer Support</v>
      </c>
    </row>
    <row r="966" spans="1:8" x14ac:dyDescent="0.35">
      <c r="A966" s="2" t="s">
        <v>203</v>
      </c>
      <c r="B966" s="3">
        <v>46212</v>
      </c>
      <c r="C966" s="2" t="s">
        <v>246</v>
      </c>
      <c r="D966" s="2" t="s">
        <v>37</v>
      </c>
      <c r="E966" t="str">
        <f>IF(OR(A966="", B966=""), "Check missing data", IF(COUNTIFS($A$2:A966, A966, $B$2:B966, B966)&gt;1, "Possible Duplicate", "First Occurrence"))</f>
        <v>First Occurrence</v>
      </c>
      <c r="F966" t="str">
        <f t="shared" si="30"/>
        <v>Present</v>
      </c>
      <c r="H966" t="str">
        <f t="shared" si="31"/>
        <v>Customer Support</v>
      </c>
    </row>
    <row r="967" spans="1:8" x14ac:dyDescent="0.35">
      <c r="A967" s="2" t="s">
        <v>203</v>
      </c>
      <c r="B967" s="3">
        <v>46272</v>
      </c>
      <c r="C967" s="2" t="s">
        <v>247</v>
      </c>
      <c r="D967" s="2" t="s">
        <v>37</v>
      </c>
      <c r="E967" t="str">
        <f>IF(OR(A967="", B967=""), "Check missing data", IF(COUNTIFS($A$2:A967, A967, $B$2:B967, B967)&gt;1, "Possible Duplicate", "First Occurrence"))</f>
        <v>First Occurrence</v>
      </c>
      <c r="F967" t="str">
        <f t="shared" si="30"/>
        <v>Late</v>
      </c>
      <c r="H967" t="str">
        <f t="shared" si="31"/>
        <v>Customer Support</v>
      </c>
    </row>
    <row r="968" spans="1:8" x14ac:dyDescent="0.35">
      <c r="A968" s="2" t="s">
        <v>203</v>
      </c>
      <c r="B968" s="3">
        <v>46219</v>
      </c>
      <c r="C968" s="2" t="s">
        <v>246</v>
      </c>
      <c r="D968" s="2" t="s">
        <v>37</v>
      </c>
      <c r="E968" t="str">
        <f>IF(OR(A968="", B968=""), "Check missing data", IF(COUNTIFS($A$2:A968, A968, $B$2:B968, B968)&gt;1, "Possible Duplicate", "First Occurrence"))</f>
        <v>First Occurrence</v>
      </c>
      <c r="F968" t="str">
        <f t="shared" si="30"/>
        <v>Present</v>
      </c>
      <c r="H968" t="str">
        <f t="shared" si="31"/>
        <v>Customer Support</v>
      </c>
    </row>
    <row r="969" spans="1:8" x14ac:dyDescent="0.35">
      <c r="A969" s="2" t="s">
        <v>203</v>
      </c>
      <c r="B969" s="3">
        <v>46204</v>
      </c>
      <c r="C969" s="2" t="s">
        <v>246</v>
      </c>
      <c r="D969" s="2" t="s">
        <v>37</v>
      </c>
      <c r="E969" t="str">
        <f>IF(OR(A969="", B969=""), "Check missing data", IF(COUNTIFS($A$2:A969, A969, $B$2:B969, B969)&gt;1, "Possible Duplicate", "First Occurrence"))</f>
        <v>First Occurrence</v>
      </c>
      <c r="F969" t="str">
        <f t="shared" si="30"/>
        <v>Present</v>
      </c>
      <c r="H969" t="str">
        <f t="shared" si="31"/>
        <v>Customer Support</v>
      </c>
    </row>
    <row r="970" spans="1:8" x14ac:dyDescent="0.35">
      <c r="A970" s="2" t="s">
        <v>203</v>
      </c>
      <c r="B970" s="3">
        <v>46248</v>
      </c>
      <c r="C970" s="2" t="s">
        <v>245</v>
      </c>
      <c r="D970" s="2" t="s">
        <v>37</v>
      </c>
      <c r="E970" t="str">
        <f>IF(OR(A970="", B970=""), "Check missing data", IF(COUNTIFS($A$2:A970, A970, $B$2:B970, B970)&gt;1, "Possible Duplicate", "First Occurrence"))</f>
        <v>First Occurrence</v>
      </c>
      <c r="F970" t="str">
        <f t="shared" si="30"/>
        <v>Absent</v>
      </c>
      <c r="H970" t="str">
        <f t="shared" si="31"/>
        <v>Customer Support</v>
      </c>
    </row>
    <row r="971" spans="1:8" x14ac:dyDescent="0.35">
      <c r="A971" s="2" t="s">
        <v>203</v>
      </c>
      <c r="B971" s="3">
        <v>46294</v>
      </c>
      <c r="C971" s="2" t="s">
        <v>245</v>
      </c>
      <c r="D971" s="2" t="s">
        <v>37</v>
      </c>
      <c r="E971" t="str">
        <f>IF(OR(A971="", B971=""), "Check missing data", IF(COUNTIFS($A$2:A971, A971, $B$2:B971, B971)&gt;1, "Possible Duplicate", "First Occurrence"))</f>
        <v>First Occurrence</v>
      </c>
      <c r="F971" t="str">
        <f t="shared" si="30"/>
        <v>Absent</v>
      </c>
      <c r="H971" t="str">
        <f t="shared" si="31"/>
        <v>Customer Support</v>
      </c>
    </row>
    <row r="972" spans="1:8" x14ac:dyDescent="0.35">
      <c r="A972" s="2" t="s">
        <v>203</v>
      </c>
      <c r="B972" s="3">
        <v>46234</v>
      </c>
      <c r="C972" s="2" t="s">
        <v>246</v>
      </c>
      <c r="D972" s="2" t="s">
        <v>37</v>
      </c>
      <c r="E972" t="str">
        <f>IF(OR(A972="", B972=""), "Check missing data", IF(COUNTIFS($A$2:A972, A972, $B$2:B972, B972)&gt;1, "Possible Duplicate", "First Occurrence"))</f>
        <v>First Occurrence</v>
      </c>
      <c r="F972" t="str">
        <f t="shared" si="30"/>
        <v>Present</v>
      </c>
      <c r="H972" t="str">
        <f t="shared" si="31"/>
        <v>Customer Support</v>
      </c>
    </row>
    <row r="973" spans="1:8" x14ac:dyDescent="0.35">
      <c r="A973" s="2" t="s">
        <v>203</v>
      </c>
      <c r="B973" s="3">
        <v>46241</v>
      </c>
      <c r="C973" s="2" t="s">
        <v>247</v>
      </c>
      <c r="D973" s="2" t="s">
        <v>37</v>
      </c>
      <c r="E973" t="str">
        <f>IF(OR(A973="", B973=""), "Check missing data", IF(COUNTIFS($A$2:A973, A973, $B$2:B973, B973)&gt;1, "Possible Duplicate", "First Occurrence"))</f>
        <v>First Occurrence</v>
      </c>
      <c r="F973" t="str">
        <f t="shared" si="30"/>
        <v>Late</v>
      </c>
      <c r="H973" t="str">
        <f t="shared" si="31"/>
        <v>Customer Support</v>
      </c>
    </row>
    <row r="974" spans="1:8" x14ac:dyDescent="0.35">
      <c r="A974" s="2" t="s">
        <v>205</v>
      </c>
      <c r="B974" s="3">
        <v>46219</v>
      </c>
      <c r="C974" s="2" t="s">
        <v>246</v>
      </c>
      <c r="D974" s="2" t="s">
        <v>11</v>
      </c>
      <c r="E974" t="str">
        <f>IF(OR(A974="", B974=""), "Check missing data", IF(COUNTIFS($A$2:A974, A974, $B$2:B974, B974)&gt;1, "Possible Duplicate", "First Occurrence"))</f>
        <v>First Occurrence</v>
      </c>
      <c r="F974" t="str">
        <f t="shared" si="30"/>
        <v>Present</v>
      </c>
      <c r="H974" t="str">
        <f t="shared" si="31"/>
        <v>Operations</v>
      </c>
    </row>
    <row r="975" spans="1:8" x14ac:dyDescent="0.35">
      <c r="A975" s="2" t="s">
        <v>205</v>
      </c>
      <c r="B975" s="3">
        <v>46246</v>
      </c>
      <c r="C975" s="2" t="s">
        <v>30</v>
      </c>
      <c r="D975" s="2" t="s">
        <v>11</v>
      </c>
      <c r="E975" t="str">
        <f>IF(OR(A975="", B975=""), "Check missing data", IF(COUNTIFS($A$2:A975, A975, $B$2:B975, B975)&gt;1, "Possible Duplicate", "First Occurrence"))</f>
        <v>First Occurrence</v>
      </c>
      <c r="F975" t="str">
        <f t="shared" si="30"/>
        <v>On Leave</v>
      </c>
      <c r="H975" t="str">
        <f t="shared" si="31"/>
        <v>Operations</v>
      </c>
    </row>
    <row r="976" spans="1:8" x14ac:dyDescent="0.35">
      <c r="A976" s="2" t="s">
        <v>205</v>
      </c>
      <c r="B976" s="3">
        <v>46282</v>
      </c>
      <c r="C976" s="2" t="s">
        <v>246</v>
      </c>
      <c r="D976" s="2" t="s">
        <v>11</v>
      </c>
      <c r="E976" t="str">
        <f>IF(OR(A976="", B976=""), "Check missing data", IF(COUNTIFS($A$2:A976, A976, $B$2:B976, B976)&gt;1, "Possible Duplicate", "First Occurrence"))</f>
        <v>First Occurrence</v>
      </c>
      <c r="F976" t="str">
        <f t="shared" si="30"/>
        <v>Present</v>
      </c>
      <c r="H976" t="str">
        <f t="shared" si="31"/>
        <v>Operations</v>
      </c>
    </row>
    <row r="977" spans="1:8" x14ac:dyDescent="0.35">
      <c r="A977" s="2" t="s">
        <v>205</v>
      </c>
      <c r="B977" s="3">
        <v>46279</v>
      </c>
      <c r="C977" s="2" t="s">
        <v>245</v>
      </c>
      <c r="D977" s="2" t="s">
        <v>11</v>
      </c>
      <c r="E977" t="str">
        <f>IF(OR(A977="", B977=""), "Check missing data", IF(COUNTIFS($A$2:A977, A977, $B$2:B977, B977)&gt;1, "Possible Duplicate", "First Occurrence"))</f>
        <v>First Occurrence</v>
      </c>
      <c r="F977" t="str">
        <f t="shared" si="30"/>
        <v>Absent</v>
      </c>
      <c r="H977" t="str">
        <f t="shared" si="31"/>
        <v>Operations</v>
      </c>
    </row>
    <row r="978" spans="1:8" x14ac:dyDescent="0.35">
      <c r="A978" s="2" t="s">
        <v>205</v>
      </c>
      <c r="B978" s="3">
        <v>46232</v>
      </c>
      <c r="C978" s="2" t="s">
        <v>246</v>
      </c>
      <c r="D978" s="2" t="s">
        <v>11</v>
      </c>
      <c r="E978" t="str">
        <f>IF(OR(A978="", B978=""), "Check missing data", IF(COUNTIFS($A$2:A978, A978, $B$2:B978, B978)&gt;1, "Possible Duplicate", "First Occurrence"))</f>
        <v>First Occurrence</v>
      </c>
      <c r="F978" t="str">
        <f t="shared" si="30"/>
        <v>Present</v>
      </c>
      <c r="H978" t="str">
        <f t="shared" si="31"/>
        <v>Operations</v>
      </c>
    </row>
    <row r="979" spans="1:8" x14ac:dyDescent="0.35">
      <c r="A979" s="2" t="s">
        <v>205</v>
      </c>
      <c r="B979" s="3">
        <v>46204</v>
      </c>
      <c r="C979" s="2" t="s">
        <v>246</v>
      </c>
      <c r="D979" s="2" t="s">
        <v>11</v>
      </c>
      <c r="E979" t="str">
        <f>IF(OR(A979="", B979=""), "Check missing data", IF(COUNTIFS($A$2:A979, A979, $B$2:B979, B979)&gt;1, "Possible Duplicate", "First Occurrence"))</f>
        <v>First Occurrence</v>
      </c>
      <c r="F979" t="str">
        <f t="shared" si="30"/>
        <v>Present</v>
      </c>
      <c r="H979" t="str">
        <f t="shared" si="31"/>
        <v>Operations</v>
      </c>
    </row>
    <row r="980" spans="1:8" x14ac:dyDescent="0.35">
      <c r="A980" s="2" t="s">
        <v>205</v>
      </c>
      <c r="B980" s="3">
        <v>46259</v>
      </c>
      <c r="C980" s="2" t="s">
        <v>30</v>
      </c>
      <c r="D980" s="2" t="s">
        <v>11</v>
      </c>
      <c r="E980" t="str">
        <f>IF(OR(A980="", B980=""), "Check missing data", IF(COUNTIFS($A$2:A980, A980, $B$2:B980, B980)&gt;1, "Possible Duplicate", "First Occurrence"))</f>
        <v>First Occurrence</v>
      </c>
      <c r="F980" t="str">
        <f t="shared" si="30"/>
        <v>On Leave</v>
      </c>
      <c r="H980" t="str">
        <f t="shared" si="31"/>
        <v>Operations</v>
      </c>
    </row>
    <row r="981" spans="1:8" x14ac:dyDescent="0.35">
      <c r="A981" s="2" t="s">
        <v>205</v>
      </c>
      <c r="B981" s="3">
        <v>46275</v>
      </c>
      <c r="C981" s="2" t="s">
        <v>247</v>
      </c>
      <c r="D981" s="2" t="s">
        <v>11</v>
      </c>
      <c r="E981" t="str">
        <f>IF(OR(A981="", B981=""), "Check missing data", IF(COUNTIFS($A$2:A981, A981, $B$2:B981, B981)&gt;1, "Possible Duplicate", "First Occurrence"))</f>
        <v>First Occurrence</v>
      </c>
      <c r="F981" t="str">
        <f t="shared" si="30"/>
        <v>Late</v>
      </c>
      <c r="H981" t="str">
        <f t="shared" si="31"/>
        <v>Operations</v>
      </c>
    </row>
    <row r="982" spans="1:8" x14ac:dyDescent="0.35">
      <c r="A982" s="2" t="s">
        <v>205</v>
      </c>
      <c r="B982" s="3">
        <v>46234</v>
      </c>
      <c r="C982" s="2" t="s">
        <v>30</v>
      </c>
      <c r="D982" s="2" t="s">
        <v>11</v>
      </c>
      <c r="E982" t="str">
        <f>IF(OR(A982="", B982=""), "Check missing data", IF(COUNTIFS($A$2:A982, A982, $B$2:B982, B982)&gt;1, "Possible Duplicate", "First Occurrence"))</f>
        <v>First Occurrence</v>
      </c>
      <c r="F982" t="str">
        <f t="shared" si="30"/>
        <v>On Leave</v>
      </c>
      <c r="H982" t="str">
        <f t="shared" si="31"/>
        <v>Operations</v>
      </c>
    </row>
    <row r="983" spans="1:8" x14ac:dyDescent="0.35">
      <c r="A983" s="2" t="s">
        <v>205</v>
      </c>
      <c r="B983" s="3">
        <v>46239</v>
      </c>
      <c r="C983" s="2" t="s">
        <v>246</v>
      </c>
      <c r="D983" s="2" t="s">
        <v>11</v>
      </c>
      <c r="E983" t="str">
        <f>IF(OR(A983="", B983=""), "Check missing data", IF(COUNTIFS($A$2:A983, A983, $B$2:B983, B983)&gt;1, "Possible Duplicate", "First Occurrence"))</f>
        <v>First Occurrence</v>
      </c>
      <c r="F983" t="str">
        <f t="shared" si="30"/>
        <v>Present</v>
      </c>
      <c r="H983" t="str">
        <f t="shared" si="31"/>
        <v>Operations</v>
      </c>
    </row>
    <row r="984" spans="1:8" x14ac:dyDescent="0.35">
      <c r="A984" s="2" t="s">
        <v>205</v>
      </c>
      <c r="B984" s="3">
        <v>46248</v>
      </c>
      <c r="C984" s="2" t="s">
        <v>246</v>
      </c>
      <c r="D984" s="2" t="s">
        <v>11</v>
      </c>
      <c r="E984" t="str">
        <f>IF(OR(A984="", B984=""), "Check missing data", IF(COUNTIFS($A$2:A984, A984, $B$2:B984, B984)&gt;1, "Possible Duplicate", "First Occurrence"))</f>
        <v>First Occurrence</v>
      </c>
      <c r="F984" t="str">
        <f t="shared" si="30"/>
        <v>Present</v>
      </c>
      <c r="H984" t="str">
        <f t="shared" si="31"/>
        <v>Operations</v>
      </c>
    </row>
    <row r="985" spans="1:8" x14ac:dyDescent="0.35">
      <c r="A985" s="2" t="s">
        <v>205</v>
      </c>
      <c r="B985" s="3">
        <v>46240</v>
      </c>
      <c r="C985" s="2" t="s">
        <v>247</v>
      </c>
      <c r="D985" s="2" t="s">
        <v>11</v>
      </c>
      <c r="E985" t="str">
        <f>IF(OR(A985="", B985=""), "Check missing data", IF(COUNTIFS($A$2:A985, A985, $B$2:B985, B985)&gt;1, "Possible Duplicate", "First Occurrence"))</f>
        <v>First Occurrence</v>
      </c>
      <c r="F985" t="str">
        <f t="shared" si="30"/>
        <v>Late</v>
      </c>
      <c r="H985" t="str">
        <f t="shared" si="31"/>
        <v>Operations</v>
      </c>
    </row>
    <row r="986" spans="1:8" x14ac:dyDescent="0.35">
      <c r="A986" s="2" t="s">
        <v>207</v>
      </c>
      <c r="B986" s="3">
        <v>46237</v>
      </c>
      <c r="C986" s="2" t="s">
        <v>246</v>
      </c>
      <c r="D986" s="2" t="s">
        <v>11</v>
      </c>
      <c r="E986" t="str">
        <f>IF(OR(A986="", B986=""), "Check missing data", IF(COUNTIFS($A$2:A986, A986, $B$2:B986, B986)&gt;1, "Possible Duplicate", "First Occurrence"))</f>
        <v>First Occurrence</v>
      </c>
      <c r="F986" t="str">
        <f t="shared" si="30"/>
        <v>Present</v>
      </c>
      <c r="H986" t="str">
        <f t="shared" si="31"/>
        <v>Operations</v>
      </c>
    </row>
    <row r="987" spans="1:8" x14ac:dyDescent="0.35">
      <c r="A987" s="2" t="s">
        <v>207</v>
      </c>
      <c r="B987" s="3">
        <v>46217</v>
      </c>
      <c r="C987" s="2" t="s">
        <v>30</v>
      </c>
      <c r="D987" s="2" t="s">
        <v>11</v>
      </c>
      <c r="E987" t="str">
        <f>IF(OR(A987="", B987=""), "Check missing data", IF(COUNTIFS($A$2:A987, A987, $B$2:B987, B987)&gt;1, "Possible Duplicate", "First Occurrence"))</f>
        <v>First Occurrence</v>
      </c>
      <c r="F987" t="str">
        <f t="shared" si="30"/>
        <v>On Leave</v>
      </c>
      <c r="H987" t="str">
        <f t="shared" si="31"/>
        <v>Operations</v>
      </c>
    </row>
    <row r="988" spans="1:8" x14ac:dyDescent="0.35">
      <c r="A988" s="2" t="s">
        <v>207</v>
      </c>
      <c r="B988" s="3">
        <v>46219</v>
      </c>
      <c r="C988" s="2" t="s">
        <v>245</v>
      </c>
      <c r="D988" s="2" t="s">
        <v>11</v>
      </c>
      <c r="E988" t="str">
        <f>IF(OR(A988="", B988=""), "Check missing data", IF(COUNTIFS($A$2:A988, A988, $B$2:B988, B988)&gt;1, "Possible Duplicate", "First Occurrence"))</f>
        <v>First Occurrence</v>
      </c>
      <c r="F988" t="str">
        <f t="shared" si="30"/>
        <v>Absent</v>
      </c>
      <c r="H988" t="str">
        <f t="shared" si="31"/>
        <v>Operations</v>
      </c>
    </row>
    <row r="989" spans="1:8" x14ac:dyDescent="0.35">
      <c r="A989" s="2" t="s">
        <v>207</v>
      </c>
      <c r="B989" s="3">
        <v>46261</v>
      </c>
      <c r="C989" s="2" t="s">
        <v>30</v>
      </c>
      <c r="D989" s="2" t="s">
        <v>11</v>
      </c>
      <c r="E989" t="str">
        <f>IF(OR(A989="", B989=""), "Check missing data", IF(COUNTIFS($A$2:A989, A989, $B$2:B989, B989)&gt;1, "Possible Duplicate", "First Occurrence"))</f>
        <v>First Occurrence</v>
      </c>
      <c r="F989" t="str">
        <f t="shared" si="30"/>
        <v>On Leave</v>
      </c>
      <c r="H989" t="str">
        <f t="shared" si="31"/>
        <v>Operations</v>
      </c>
    </row>
    <row r="990" spans="1:8" x14ac:dyDescent="0.35">
      <c r="A990" s="2" t="s">
        <v>207</v>
      </c>
      <c r="B990" s="3">
        <v>46220</v>
      </c>
      <c r="C990" s="2" t="s">
        <v>246</v>
      </c>
      <c r="D990" s="2" t="s">
        <v>11</v>
      </c>
      <c r="E990" t="str">
        <f>IF(OR(A990="", B990=""), "Check missing data", IF(COUNTIFS($A$2:A990, A990, $B$2:B990, B990)&gt;1, "Possible Duplicate", "First Occurrence"))</f>
        <v>First Occurrence</v>
      </c>
      <c r="F990" t="str">
        <f t="shared" si="30"/>
        <v>Present</v>
      </c>
      <c r="H990" t="str">
        <f t="shared" si="31"/>
        <v>Operations</v>
      </c>
    </row>
    <row r="991" spans="1:8" x14ac:dyDescent="0.35">
      <c r="A991" s="2" t="s">
        <v>207</v>
      </c>
      <c r="B991" s="3">
        <v>46238</v>
      </c>
      <c r="C991" s="2" t="s">
        <v>247</v>
      </c>
      <c r="D991" s="2" t="s">
        <v>11</v>
      </c>
      <c r="E991" t="str">
        <f>IF(OR(A991="", B991=""), "Check missing data", IF(COUNTIFS($A$2:A991, A991, $B$2:B991, B991)&gt;1, "Possible Duplicate", "First Occurrence"))</f>
        <v>First Occurrence</v>
      </c>
      <c r="F991" t="str">
        <f t="shared" si="30"/>
        <v>Late</v>
      </c>
      <c r="H991" t="str">
        <f t="shared" si="31"/>
        <v>Operations</v>
      </c>
    </row>
    <row r="992" spans="1:8" x14ac:dyDescent="0.35">
      <c r="A992" s="2" t="s">
        <v>207</v>
      </c>
      <c r="B992" s="3">
        <v>46283</v>
      </c>
      <c r="C992" s="2" t="s">
        <v>246</v>
      </c>
      <c r="D992" s="2" t="s">
        <v>11</v>
      </c>
      <c r="E992" t="str">
        <f>IF(OR(A992="", B992=""), "Check missing data", IF(COUNTIFS($A$2:A992, A992, $B$2:B992, B992)&gt;1, "Possible Duplicate", "First Occurrence"))</f>
        <v>First Occurrence</v>
      </c>
      <c r="F992" t="str">
        <f t="shared" si="30"/>
        <v>Present</v>
      </c>
      <c r="H992" t="str">
        <f t="shared" si="31"/>
        <v>Operations</v>
      </c>
    </row>
    <row r="993" spans="1:8" x14ac:dyDescent="0.35">
      <c r="A993" s="2" t="s">
        <v>207</v>
      </c>
      <c r="B993" s="3">
        <v>46254</v>
      </c>
      <c r="C993" s="2" t="s">
        <v>246</v>
      </c>
      <c r="D993" s="2" t="s">
        <v>11</v>
      </c>
      <c r="E993" t="str">
        <f>IF(OR(A993="", B993=""), "Check missing data", IF(COUNTIFS($A$2:A993, A993, $B$2:B993, B993)&gt;1, "Possible Duplicate", "First Occurrence"))</f>
        <v>First Occurrence</v>
      </c>
      <c r="F993" t="str">
        <f t="shared" si="30"/>
        <v>Present</v>
      </c>
      <c r="H993" t="str">
        <f t="shared" si="31"/>
        <v>Operations</v>
      </c>
    </row>
    <row r="994" spans="1:8" x14ac:dyDescent="0.35">
      <c r="A994" s="2" t="s">
        <v>207</v>
      </c>
      <c r="B994" s="3">
        <v>46295</v>
      </c>
      <c r="C994" s="2" t="s">
        <v>30</v>
      </c>
      <c r="D994" s="2" t="s">
        <v>11</v>
      </c>
      <c r="E994" t="str">
        <f>IF(OR(A994="", B994=""), "Check missing data", IF(COUNTIFS($A$2:A994, A994, $B$2:B994, B994)&gt;1, "Possible Duplicate", "First Occurrence"))</f>
        <v>First Occurrence</v>
      </c>
      <c r="F994" t="str">
        <f t="shared" si="30"/>
        <v>On Leave</v>
      </c>
      <c r="H994" t="str">
        <f t="shared" si="31"/>
        <v>Operations</v>
      </c>
    </row>
    <row r="995" spans="1:8" x14ac:dyDescent="0.35">
      <c r="A995" s="2" t="s">
        <v>207</v>
      </c>
      <c r="B995" s="3">
        <v>46241</v>
      </c>
      <c r="C995" s="2" t="s">
        <v>247</v>
      </c>
      <c r="D995" s="2" t="s">
        <v>11</v>
      </c>
      <c r="E995" t="str">
        <f>IF(OR(A995="", B995=""), "Check missing data", IF(COUNTIFS($A$2:A995, A995, $B$2:B995, B995)&gt;1, "Possible Duplicate", "First Occurrence"))</f>
        <v>First Occurrence</v>
      </c>
      <c r="F995" t="str">
        <f t="shared" si="30"/>
        <v>Late</v>
      </c>
      <c r="H995" t="str">
        <f t="shared" si="31"/>
        <v>Operations</v>
      </c>
    </row>
    <row r="996" spans="1:8" x14ac:dyDescent="0.35">
      <c r="A996" s="2" t="s">
        <v>207</v>
      </c>
      <c r="B996" s="3">
        <v>46273</v>
      </c>
      <c r="C996" s="2" t="s">
        <v>247</v>
      </c>
      <c r="D996" s="2" t="s">
        <v>11</v>
      </c>
      <c r="E996" t="str">
        <f>IF(OR(A996="", B996=""), "Check missing data", IF(COUNTIFS($A$2:A996, A996, $B$2:B996, B996)&gt;1, "Possible Duplicate", "First Occurrence"))</f>
        <v>First Occurrence</v>
      </c>
      <c r="F996" t="str">
        <f t="shared" si="30"/>
        <v>Late</v>
      </c>
      <c r="H996" t="str">
        <f t="shared" si="31"/>
        <v>Operations</v>
      </c>
    </row>
    <row r="997" spans="1:8" x14ac:dyDescent="0.35">
      <c r="A997" s="2" t="s">
        <v>207</v>
      </c>
      <c r="B997" s="3">
        <v>46293</v>
      </c>
      <c r="C997" s="2" t="s">
        <v>246</v>
      </c>
      <c r="D997" s="2" t="s">
        <v>11</v>
      </c>
      <c r="E997" t="str">
        <f>IF(OR(A997="", B997=""), "Check missing data", IF(COUNTIFS($A$2:A997, A997, $B$2:B997, B997)&gt;1, "Possible Duplicate", "First Occurrence"))</f>
        <v>First Occurrence</v>
      </c>
      <c r="F997" t="str">
        <f t="shared" si="30"/>
        <v>Present</v>
      </c>
      <c r="H997" t="str">
        <f t="shared" si="31"/>
        <v>Operations</v>
      </c>
    </row>
    <row r="998" spans="1:8" x14ac:dyDescent="0.35">
      <c r="A998" s="2" t="s">
        <v>209</v>
      </c>
      <c r="B998" s="3">
        <v>46261</v>
      </c>
      <c r="C998" s="2" t="s">
        <v>246</v>
      </c>
      <c r="D998" s="2" t="s">
        <v>11</v>
      </c>
      <c r="E998" t="str">
        <f>IF(OR(A998="", B998=""), "Check missing data", IF(COUNTIFS($A$2:A998, A998, $B$2:B998, B998)&gt;1, "Possible Duplicate", "First Occurrence"))</f>
        <v>First Occurrence</v>
      </c>
      <c r="F998" t="str">
        <f t="shared" si="30"/>
        <v>Present</v>
      </c>
      <c r="H998" t="str">
        <f t="shared" si="31"/>
        <v>Operations</v>
      </c>
    </row>
    <row r="999" spans="1:8" x14ac:dyDescent="0.35">
      <c r="A999" s="2" t="s">
        <v>209</v>
      </c>
      <c r="B999" s="3">
        <v>46227</v>
      </c>
      <c r="C999" s="2" t="s">
        <v>245</v>
      </c>
      <c r="D999" s="2" t="s">
        <v>11</v>
      </c>
      <c r="E999" t="str">
        <f>IF(OR(A999="", B999=""), "Check missing data", IF(COUNTIFS($A$2:A999, A999, $B$2:B999, B999)&gt;1, "Possible Duplicate", "First Occurrence"))</f>
        <v>First Occurrence</v>
      </c>
      <c r="F999" t="str">
        <f t="shared" si="30"/>
        <v>Absent</v>
      </c>
      <c r="H999" t="str">
        <f t="shared" si="31"/>
        <v>Operations</v>
      </c>
    </row>
    <row r="1000" spans="1:8" x14ac:dyDescent="0.35">
      <c r="A1000" s="2" t="s">
        <v>209</v>
      </c>
      <c r="B1000" s="3">
        <v>46237</v>
      </c>
      <c r="C1000" s="2" t="s">
        <v>246</v>
      </c>
      <c r="D1000" s="2" t="s">
        <v>11</v>
      </c>
      <c r="E1000" t="str">
        <f>IF(OR(A1000="", B1000=""), "Check missing data", IF(COUNTIFS($A$2:A1000, A1000, $B$2:B1000, B1000)&gt;1, "Possible Duplicate", "First Occurrence"))</f>
        <v>First Occurrence</v>
      </c>
      <c r="F1000" t="str">
        <f t="shared" si="30"/>
        <v>Present</v>
      </c>
      <c r="H1000" t="str">
        <f t="shared" si="31"/>
        <v>Operations</v>
      </c>
    </row>
    <row r="1001" spans="1:8" x14ac:dyDescent="0.35">
      <c r="A1001" s="2" t="s">
        <v>209</v>
      </c>
      <c r="B1001" s="3">
        <v>46272</v>
      </c>
      <c r="C1001" s="2" t="s">
        <v>246</v>
      </c>
      <c r="D1001" s="2" t="s">
        <v>11</v>
      </c>
      <c r="E1001" t="str">
        <f>IF(OR(A1001="", B1001=""), "Check missing data", IF(COUNTIFS($A$2:A1001, A1001, $B$2:B1001, B1001)&gt;1, "Possible Duplicate", "First Occurrence"))</f>
        <v>First Occurrence</v>
      </c>
      <c r="F1001" t="str">
        <f t="shared" si="30"/>
        <v>Present</v>
      </c>
      <c r="H1001" t="str">
        <f t="shared" si="31"/>
        <v>Operations</v>
      </c>
    </row>
    <row r="1002" spans="1:8" x14ac:dyDescent="0.35">
      <c r="A1002" s="2" t="s">
        <v>209</v>
      </c>
      <c r="B1002" s="3">
        <v>46206</v>
      </c>
      <c r="C1002" s="2" t="s">
        <v>245</v>
      </c>
      <c r="D1002" s="2" t="s">
        <v>11</v>
      </c>
      <c r="E1002" t="str">
        <f>IF(OR(A1002="", B1002=""), "Check missing data", IF(COUNTIFS($A$2:A1002, A1002, $B$2:B1002, B1002)&gt;1, "Possible Duplicate", "First Occurrence"))</f>
        <v>First Occurrence</v>
      </c>
      <c r="F1002" t="str">
        <f t="shared" si="30"/>
        <v>Absent</v>
      </c>
      <c r="H1002" t="str">
        <f t="shared" si="31"/>
        <v>Operations</v>
      </c>
    </row>
    <row r="1003" spans="1:8" x14ac:dyDescent="0.35">
      <c r="A1003" s="2" t="s">
        <v>209</v>
      </c>
      <c r="B1003" s="3">
        <v>46224</v>
      </c>
      <c r="C1003" s="2" t="s">
        <v>245</v>
      </c>
      <c r="D1003" s="2" t="s">
        <v>11</v>
      </c>
      <c r="E1003" t="str">
        <f>IF(OR(A1003="", B1003=""), "Check missing data", IF(COUNTIFS($A$2:A1003, A1003, $B$2:B1003, B1003)&gt;1, "Possible Duplicate", "First Occurrence"))</f>
        <v>First Occurrence</v>
      </c>
      <c r="F1003" t="str">
        <f t="shared" si="30"/>
        <v>Absent</v>
      </c>
      <c r="H1003" t="str">
        <f t="shared" si="31"/>
        <v>Operations</v>
      </c>
    </row>
    <row r="1004" spans="1:8" x14ac:dyDescent="0.35">
      <c r="A1004" s="2" t="s">
        <v>209</v>
      </c>
      <c r="B1004" s="3">
        <v>46253</v>
      </c>
      <c r="C1004" s="2" t="s">
        <v>30</v>
      </c>
      <c r="D1004" s="2" t="s">
        <v>11</v>
      </c>
      <c r="E1004" t="str">
        <f>IF(OR(A1004="", B1004=""), "Check missing data", IF(COUNTIFS($A$2:A1004, A1004, $B$2:B1004, B1004)&gt;1, "Possible Duplicate", "First Occurrence"))</f>
        <v>First Occurrence</v>
      </c>
      <c r="F1004" t="str">
        <f t="shared" si="30"/>
        <v>On Leave</v>
      </c>
      <c r="H1004" t="str">
        <f t="shared" si="31"/>
        <v>Operations</v>
      </c>
    </row>
    <row r="1005" spans="1:8" x14ac:dyDescent="0.35">
      <c r="A1005" s="2" t="s">
        <v>209</v>
      </c>
      <c r="B1005" s="3">
        <v>46274</v>
      </c>
      <c r="C1005" s="2" t="s">
        <v>30</v>
      </c>
      <c r="D1005" s="2" t="s">
        <v>11</v>
      </c>
      <c r="E1005" t="str">
        <f>IF(OR(A1005="", B1005=""), "Check missing data", IF(COUNTIFS($A$2:A1005, A1005, $B$2:B1005, B1005)&gt;1, "Possible Duplicate", "First Occurrence"))</f>
        <v>First Occurrence</v>
      </c>
      <c r="F1005" t="str">
        <f t="shared" si="30"/>
        <v>On Leave</v>
      </c>
      <c r="H1005" t="str">
        <f t="shared" si="31"/>
        <v>Operations</v>
      </c>
    </row>
    <row r="1006" spans="1:8" x14ac:dyDescent="0.35">
      <c r="A1006" s="2" t="s">
        <v>209</v>
      </c>
      <c r="B1006" s="3">
        <v>46248</v>
      </c>
      <c r="C1006" s="2" t="s">
        <v>246</v>
      </c>
      <c r="D1006" s="2" t="s">
        <v>11</v>
      </c>
      <c r="E1006" t="str">
        <f>IF(OR(A1006="", B1006=""), "Check missing data", IF(COUNTIFS($A$2:A1006, A1006, $B$2:B1006, B1006)&gt;1, "Possible Duplicate", "First Occurrence"))</f>
        <v>First Occurrence</v>
      </c>
      <c r="F1006" t="str">
        <f t="shared" si="30"/>
        <v>Present</v>
      </c>
      <c r="H1006" t="str">
        <f t="shared" si="31"/>
        <v>Operations</v>
      </c>
    </row>
    <row r="1007" spans="1:8" x14ac:dyDescent="0.35">
      <c r="A1007" s="2" t="s">
        <v>209</v>
      </c>
      <c r="B1007" s="3">
        <v>46290</v>
      </c>
      <c r="C1007" s="2" t="s">
        <v>246</v>
      </c>
      <c r="D1007" s="2" t="s">
        <v>11</v>
      </c>
      <c r="E1007" t="str">
        <f>IF(OR(A1007="", B1007=""), "Check missing data", IF(COUNTIFS($A$2:A1007, A1007, $B$2:B1007, B1007)&gt;1, "Possible Duplicate", "First Occurrence"))</f>
        <v>First Occurrence</v>
      </c>
      <c r="F1007" t="str">
        <f t="shared" si="30"/>
        <v>Present</v>
      </c>
      <c r="H1007" t="str">
        <f t="shared" si="31"/>
        <v>Operations</v>
      </c>
    </row>
    <row r="1008" spans="1:8" x14ac:dyDescent="0.35">
      <c r="A1008" s="2" t="s">
        <v>209</v>
      </c>
      <c r="B1008" s="3">
        <v>46219</v>
      </c>
      <c r="C1008" s="2" t="s">
        <v>246</v>
      </c>
      <c r="D1008" s="2" t="s">
        <v>11</v>
      </c>
      <c r="E1008" t="str">
        <f>IF(OR(A1008="", B1008=""), "Check missing data", IF(COUNTIFS($A$2:A1008, A1008, $B$2:B1008, B1008)&gt;1, "Possible Duplicate", "First Occurrence"))</f>
        <v>First Occurrence</v>
      </c>
      <c r="F1008" t="str">
        <f t="shared" si="30"/>
        <v>Present</v>
      </c>
      <c r="H1008" t="str">
        <f t="shared" si="31"/>
        <v>Operations</v>
      </c>
    </row>
    <row r="1009" spans="1:8" x14ac:dyDescent="0.35">
      <c r="A1009" s="2" t="s">
        <v>209</v>
      </c>
      <c r="B1009" s="3">
        <v>46220</v>
      </c>
      <c r="C1009" s="2" t="s">
        <v>246</v>
      </c>
      <c r="D1009" s="2" t="s">
        <v>11</v>
      </c>
      <c r="E1009" t="str">
        <f>IF(OR(A1009="", B1009=""), "Check missing data", IF(COUNTIFS($A$2:A1009, A1009, $B$2:B1009, B1009)&gt;1, "Possible Duplicate", "First Occurrence"))</f>
        <v>First Occurrence</v>
      </c>
      <c r="F1009" t="str">
        <f t="shared" si="30"/>
        <v>Present</v>
      </c>
      <c r="H1009" t="str">
        <f t="shared" si="31"/>
        <v>Operations</v>
      </c>
    </row>
    <row r="1010" spans="1:8" x14ac:dyDescent="0.35">
      <c r="A1010" s="2" t="s">
        <v>211</v>
      </c>
      <c r="B1010" s="3">
        <v>46248</v>
      </c>
      <c r="C1010" s="2" t="s">
        <v>30</v>
      </c>
      <c r="D1010" s="2" t="s">
        <v>33</v>
      </c>
      <c r="E1010" t="str">
        <f>IF(OR(A1010="", B1010=""), "Check missing data", IF(COUNTIFS($A$2:A1010, A1010, $B$2:B1010, B1010)&gt;1, "Possible Duplicate", "First Occurrence"))</f>
        <v>First Occurrence</v>
      </c>
      <c r="F1010" t="str">
        <f t="shared" si="30"/>
        <v>On Leave</v>
      </c>
      <c r="H1010" t="str">
        <f t="shared" si="31"/>
        <v>Sales</v>
      </c>
    </row>
    <row r="1011" spans="1:8" x14ac:dyDescent="0.35">
      <c r="A1011" s="2" t="s">
        <v>211</v>
      </c>
      <c r="B1011" s="3">
        <v>46255</v>
      </c>
      <c r="C1011" s="2" t="s">
        <v>30</v>
      </c>
      <c r="D1011" s="2" t="s">
        <v>33</v>
      </c>
      <c r="E1011" t="str">
        <f>IF(OR(A1011="", B1011=""), "Check missing data", IF(COUNTIFS($A$2:A1011, A1011, $B$2:B1011, B1011)&gt;1, "Possible Duplicate", "First Occurrence"))</f>
        <v>First Occurrence</v>
      </c>
      <c r="F1011" t="str">
        <f t="shared" si="30"/>
        <v>On Leave</v>
      </c>
      <c r="H1011" t="str">
        <f t="shared" si="31"/>
        <v>Sales</v>
      </c>
    </row>
    <row r="1012" spans="1:8" x14ac:dyDescent="0.35">
      <c r="A1012" s="2" t="s">
        <v>211</v>
      </c>
      <c r="B1012" s="3">
        <v>46210</v>
      </c>
      <c r="C1012" s="2" t="s">
        <v>246</v>
      </c>
      <c r="D1012" s="2" t="s">
        <v>33</v>
      </c>
      <c r="E1012" t="str">
        <f>IF(OR(A1012="", B1012=""), "Check missing data", IF(COUNTIFS($A$2:A1012, A1012, $B$2:B1012, B1012)&gt;1, "Possible Duplicate", "First Occurrence"))</f>
        <v>First Occurrence</v>
      </c>
      <c r="F1012" t="str">
        <f t="shared" si="30"/>
        <v>Present</v>
      </c>
      <c r="H1012" t="str">
        <f t="shared" si="31"/>
        <v>Sales</v>
      </c>
    </row>
    <row r="1013" spans="1:8" x14ac:dyDescent="0.35">
      <c r="A1013" s="2" t="s">
        <v>211</v>
      </c>
      <c r="B1013" s="3">
        <v>46247</v>
      </c>
      <c r="C1013" s="2" t="s">
        <v>30</v>
      </c>
      <c r="D1013" s="2" t="s">
        <v>33</v>
      </c>
      <c r="E1013" t="str">
        <f>IF(OR(A1013="", B1013=""), "Check missing data", IF(COUNTIFS($A$2:A1013, A1013, $B$2:B1013, B1013)&gt;1, "Possible Duplicate", "First Occurrence"))</f>
        <v>First Occurrence</v>
      </c>
      <c r="F1013" t="str">
        <f t="shared" si="30"/>
        <v>On Leave</v>
      </c>
      <c r="H1013" t="str">
        <f t="shared" si="31"/>
        <v>Sales</v>
      </c>
    </row>
    <row r="1014" spans="1:8" x14ac:dyDescent="0.35">
      <c r="A1014" s="2" t="s">
        <v>211</v>
      </c>
      <c r="B1014" s="3">
        <v>46267</v>
      </c>
      <c r="C1014" s="2" t="s">
        <v>30</v>
      </c>
      <c r="D1014" s="2" t="s">
        <v>33</v>
      </c>
      <c r="E1014" t="str">
        <f>IF(OR(A1014="", B1014=""), "Check missing data", IF(COUNTIFS($A$2:A1014, A1014, $B$2:B1014, B1014)&gt;1, "Possible Duplicate", "First Occurrence"))</f>
        <v>First Occurrence</v>
      </c>
      <c r="F1014" t="str">
        <f t="shared" si="30"/>
        <v>On Leave</v>
      </c>
      <c r="H1014" t="str">
        <f t="shared" si="31"/>
        <v>Sales</v>
      </c>
    </row>
    <row r="1015" spans="1:8" x14ac:dyDescent="0.35">
      <c r="A1015" s="2" t="s">
        <v>211</v>
      </c>
      <c r="B1015" s="3">
        <v>46276</v>
      </c>
      <c r="C1015" s="2" t="s">
        <v>246</v>
      </c>
      <c r="D1015" s="2" t="s">
        <v>33</v>
      </c>
      <c r="E1015" t="str">
        <f>IF(OR(A1015="", B1015=""), "Check missing data", IF(COUNTIFS($A$2:A1015, A1015, $B$2:B1015, B1015)&gt;1, "Possible Duplicate", "First Occurrence"))</f>
        <v>First Occurrence</v>
      </c>
      <c r="F1015" t="str">
        <f t="shared" si="30"/>
        <v>Present</v>
      </c>
      <c r="H1015" t="str">
        <f t="shared" si="31"/>
        <v>Sales</v>
      </c>
    </row>
    <row r="1016" spans="1:8" x14ac:dyDescent="0.35">
      <c r="A1016" s="2" t="s">
        <v>211</v>
      </c>
      <c r="B1016" s="3">
        <v>46253</v>
      </c>
      <c r="C1016" s="2" t="s">
        <v>246</v>
      </c>
      <c r="D1016" s="2" t="s">
        <v>33</v>
      </c>
      <c r="E1016" t="str">
        <f>IF(OR(A1016="", B1016=""), "Check missing data", IF(COUNTIFS($A$2:A1016, A1016, $B$2:B1016, B1016)&gt;1, "Possible Duplicate", "First Occurrence"))</f>
        <v>First Occurrence</v>
      </c>
      <c r="F1016" t="str">
        <f t="shared" si="30"/>
        <v>Present</v>
      </c>
      <c r="H1016" t="str">
        <f t="shared" si="31"/>
        <v>Sales</v>
      </c>
    </row>
    <row r="1017" spans="1:8" x14ac:dyDescent="0.35">
      <c r="A1017" s="2" t="s">
        <v>211</v>
      </c>
      <c r="B1017" s="3">
        <v>46205</v>
      </c>
      <c r="C1017" s="2" t="s">
        <v>246</v>
      </c>
      <c r="D1017" s="2" t="s">
        <v>33</v>
      </c>
      <c r="E1017" t="str">
        <f>IF(OR(A1017="", B1017=""), "Check missing data", IF(COUNTIFS($A$2:A1017, A1017, $B$2:B1017, B1017)&gt;1, "Possible Duplicate", "First Occurrence"))</f>
        <v>First Occurrence</v>
      </c>
      <c r="F1017" t="str">
        <f t="shared" si="30"/>
        <v>Present</v>
      </c>
      <c r="H1017" t="str">
        <f t="shared" si="31"/>
        <v>Sales</v>
      </c>
    </row>
    <row r="1018" spans="1:8" x14ac:dyDescent="0.35">
      <c r="A1018" s="2" t="s">
        <v>211</v>
      </c>
      <c r="B1018" s="3">
        <v>46273</v>
      </c>
      <c r="C1018" s="2" t="s">
        <v>245</v>
      </c>
      <c r="D1018" s="2" t="s">
        <v>33</v>
      </c>
      <c r="E1018" t="str">
        <f>IF(OR(A1018="", B1018=""), "Check missing data", IF(COUNTIFS($A$2:A1018, A1018, $B$2:B1018, B1018)&gt;1, "Possible Duplicate", "First Occurrence"))</f>
        <v>First Occurrence</v>
      </c>
      <c r="F1018" t="str">
        <f t="shared" si="30"/>
        <v>Absent</v>
      </c>
      <c r="H1018" t="str">
        <f t="shared" si="31"/>
        <v>Sales</v>
      </c>
    </row>
    <row r="1019" spans="1:8" x14ac:dyDescent="0.35">
      <c r="A1019" s="2" t="s">
        <v>211</v>
      </c>
      <c r="B1019" s="3">
        <v>46240</v>
      </c>
      <c r="C1019" s="2" t="s">
        <v>246</v>
      </c>
      <c r="D1019" s="2" t="s">
        <v>33</v>
      </c>
      <c r="E1019" t="str">
        <f>IF(OR(A1019="", B1019=""), "Check missing data", IF(COUNTIFS($A$2:A1019, A1019, $B$2:B1019, B1019)&gt;1, "Possible Duplicate", "First Occurrence"))</f>
        <v>First Occurrence</v>
      </c>
      <c r="F1019" t="str">
        <f t="shared" si="30"/>
        <v>Present</v>
      </c>
      <c r="H1019" t="str">
        <f t="shared" si="31"/>
        <v>Sales</v>
      </c>
    </row>
    <row r="1020" spans="1:8" x14ac:dyDescent="0.35">
      <c r="A1020" s="2" t="s">
        <v>211</v>
      </c>
      <c r="B1020" s="3">
        <v>46283</v>
      </c>
      <c r="C1020" s="2" t="s">
        <v>246</v>
      </c>
      <c r="D1020" s="2" t="s">
        <v>33</v>
      </c>
      <c r="E1020" t="str">
        <f>IF(OR(A1020="", B1020=""), "Check missing data", IF(COUNTIFS($A$2:A1020, A1020, $B$2:B1020, B1020)&gt;1, "Possible Duplicate", "First Occurrence"))</f>
        <v>First Occurrence</v>
      </c>
      <c r="F1020" t="str">
        <f t="shared" si="30"/>
        <v>Present</v>
      </c>
      <c r="H1020" t="str">
        <f t="shared" si="31"/>
        <v>Sales</v>
      </c>
    </row>
    <row r="1021" spans="1:8" x14ac:dyDescent="0.35">
      <c r="A1021" s="2" t="s">
        <v>211</v>
      </c>
      <c r="B1021" s="3">
        <v>46218</v>
      </c>
      <c r="C1021" s="2" t="s">
        <v>246</v>
      </c>
      <c r="D1021" s="2" t="s">
        <v>33</v>
      </c>
      <c r="E1021" t="str">
        <f>IF(OR(A1021="", B1021=""), "Check missing data", IF(COUNTIFS($A$2:A1021, A1021, $B$2:B1021, B1021)&gt;1, "Possible Duplicate", "First Occurrence"))</f>
        <v>First Occurrence</v>
      </c>
      <c r="F1021" t="str">
        <f t="shared" si="30"/>
        <v>Present</v>
      </c>
      <c r="H1021" t="str">
        <f t="shared" si="31"/>
        <v>Sales</v>
      </c>
    </row>
    <row r="1022" spans="1:8" x14ac:dyDescent="0.35">
      <c r="A1022" s="2" t="s">
        <v>213</v>
      </c>
      <c r="B1022" s="3">
        <v>46246</v>
      </c>
      <c r="C1022" s="2" t="s">
        <v>246</v>
      </c>
      <c r="D1022" s="2" t="s">
        <v>17</v>
      </c>
      <c r="E1022" t="str">
        <f>IF(OR(A1022="", B1022=""), "Check missing data", IF(COUNTIFS($A$2:A1022, A1022, $B$2:B1022, B1022)&gt;1, "Possible Duplicate", "First Occurrence"))</f>
        <v>First Occurrence</v>
      </c>
      <c r="F1022" t="str">
        <f t="shared" si="30"/>
        <v>Present</v>
      </c>
      <c r="H1022" t="str">
        <f t="shared" si="31"/>
        <v>Finance</v>
      </c>
    </row>
    <row r="1023" spans="1:8" x14ac:dyDescent="0.35">
      <c r="A1023" s="2" t="s">
        <v>213</v>
      </c>
      <c r="B1023" s="3">
        <v>46272</v>
      </c>
      <c r="C1023" s="2" t="s">
        <v>246</v>
      </c>
      <c r="D1023" s="2" t="s">
        <v>17</v>
      </c>
      <c r="E1023" t="str">
        <f>IF(OR(A1023="", B1023=""), "Check missing data", IF(COUNTIFS($A$2:A1023, A1023, $B$2:B1023, B1023)&gt;1, "Possible Duplicate", "First Occurrence"))</f>
        <v>First Occurrence</v>
      </c>
      <c r="F1023" t="str">
        <f t="shared" si="30"/>
        <v>Present</v>
      </c>
      <c r="H1023" t="str">
        <f t="shared" si="31"/>
        <v>Finance</v>
      </c>
    </row>
    <row r="1024" spans="1:8" x14ac:dyDescent="0.35">
      <c r="A1024" s="2" t="s">
        <v>213</v>
      </c>
      <c r="B1024" s="3">
        <v>46213</v>
      </c>
      <c r="C1024" s="2" t="s">
        <v>246</v>
      </c>
      <c r="D1024" s="2" t="s">
        <v>17</v>
      </c>
      <c r="E1024" t="str">
        <f>IF(OR(A1024="", B1024=""), "Check missing data", IF(COUNTIFS($A$2:A1024, A1024, $B$2:B1024, B1024)&gt;1, "Possible Duplicate", "First Occurrence"))</f>
        <v>First Occurrence</v>
      </c>
      <c r="F1024" t="str">
        <f t="shared" si="30"/>
        <v>Present</v>
      </c>
      <c r="H1024" t="str">
        <f t="shared" si="31"/>
        <v>Finance</v>
      </c>
    </row>
    <row r="1025" spans="1:8" x14ac:dyDescent="0.35">
      <c r="A1025" s="2" t="s">
        <v>213</v>
      </c>
      <c r="B1025" s="3">
        <v>46266</v>
      </c>
      <c r="C1025" s="2" t="s">
        <v>30</v>
      </c>
      <c r="D1025" s="2" t="s">
        <v>17</v>
      </c>
      <c r="E1025" t="str">
        <f>IF(OR(A1025="", B1025=""), "Check missing data", IF(COUNTIFS($A$2:A1025, A1025, $B$2:B1025, B1025)&gt;1, "Possible Duplicate", "First Occurrence"))</f>
        <v>First Occurrence</v>
      </c>
      <c r="F1025" t="str">
        <f t="shared" si="30"/>
        <v>On Leave</v>
      </c>
      <c r="H1025" t="str">
        <f t="shared" si="31"/>
        <v>Finance</v>
      </c>
    </row>
    <row r="1026" spans="1:8" x14ac:dyDescent="0.35">
      <c r="A1026" s="2" t="s">
        <v>213</v>
      </c>
      <c r="B1026" s="3">
        <v>46206</v>
      </c>
      <c r="C1026" s="2" t="s">
        <v>30</v>
      </c>
      <c r="D1026" s="2" t="s">
        <v>17</v>
      </c>
      <c r="E1026" t="str">
        <f>IF(OR(A1026="", B1026=""), "Check missing data", IF(COUNTIFS($A$2:A1026, A1026, $B$2:B1026, B1026)&gt;1, "Possible Duplicate", "First Occurrence"))</f>
        <v>First Occurrence</v>
      </c>
      <c r="F1026" t="str">
        <f t="shared" si="30"/>
        <v>On Leave</v>
      </c>
      <c r="H1026" t="str">
        <f t="shared" si="31"/>
        <v>Finance</v>
      </c>
    </row>
    <row r="1027" spans="1:8" x14ac:dyDescent="0.35">
      <c r="A1027" s="2" t="s">
        <v>213</v>
      </c>
      <c r="B1027" s="3">
        <v>46282</v>
      </c>
      <c r="C1027" s="2" t="s">
        <v>247</v>
      </c>
      <c r="D1027" s="2" t="s">
        <v>17</v>
      </c>
      <c r="E1027" t="str">
        <f>IF(OR(A1027="", B1027=""), "Check missing data", IF(COUNTIFS($A$2:A1027, A1027, $B$2:B1027, B1027)&gt;1, "Possible Duplicate", "First Occurrence"))</f>
        <v>First Occurrence</v>
      </c>
      <c r="F1027" t="str">
        <f t="shared" ref="F1027:F1090" si="32">PROPER(TRIM(C1027))</f>
        <v>Late</v>
      </c>
      <c r="H1027" t="str">
        <f t="shared" ref="H1027:H1090" si="33">TRIM(CLEAN(D1027))</f>
        <v>Finance</v>
      </c>
    </row>
    <row r="1028" spans="1:8" x14ac:dyDescent="0.35">
      <c r="A1028" s="2" t="s">
        <v>213</v>
      </c>
      <c r="B1028" s="3">
        <v>46255</v>
      </c>
      <c r="C1028" s="2" t="s">
        <v>246</v>
      </c>
      <c r="D1028" s="2" t="s">
        <v>17</v>
      </c>
      <c r="E1028" t="str">
        <f>IF(OR(A1028="", B1028=""), "Check missing data", IF(COUNTIFS($A$2:A1028, A1028, $B$2:B1028, B1028)&gt;1, "Possible Duplicate", "First Occurrence"))</f>
        <v>First Occurrence</v>
      </c>
      <c r="F1028" t="str">
        <f t="shared" si="32"/>
        <v>Present</v>
      </c>
      <c r="H1028" t="str">
        <f t="shared" si="33"/>
        <v>Finance</v>
      </c>
    </row>
    <row r="1029" spans="1:8" x14ac:dyDescent="0.35">
      <c r="A1029" s="2" t="s">
        <v>213</v>
      </c>
      <c r="B1029" s="3">
        <v>46218</v>
      </c>
      <c r="C1029" s="2" t="s">
        <v>246</v>
      </c>
      <c r="D1029" s="2" t="s">
        <v>17</v>
      </c>
      <c r="E1029" t="str">
        <f>IF(OR(A1029="", B1029=""), "Check missing data", IF(COUNTIFS($A$2:A1029, A1029, $B$2:B1029, B1029)&gt;1, "Possible Duplicate", "First Occurrence"))</f>
        <v>First Occurrence</v>
      </c>
      <c r="F1029" t="str">
        <f t="shared" si="32"/>
        <v>Present</v>
      </c>
      <c r="H1029" t="str">
        <f t="shared" si="33"/>
        <v>Finance</v>
      </c>
    </row>
    <row r="1030" spans="1:8" x14ac:dyDescent="0.35">
      <c r="A1030" s="2" t="s">
        <v>213</v>
      </c>
      <c r="B1030" s="3">
        <v>46237</v>
      </c>
      <c r="C1030" s="2" t="s">
        <v>246</v>
      </c>
      <c r="D1030" s="2" t="s">
        <v>17</v>
      </c>
      <c r="E1030" t="str">
        <f>IF(OR(A1030="", B1030=""), "Check missing data", IF(COUNTIFS($A$2:A1030, A1030, $B$2:B1030, B1030)&gt;1, "Possible Duplicate", "First Occurrence"))</f>
        <v>First Occurrence</v>
      </c>
      <c r="F1030" t="str">
        <f t="shared" si="32"/>
        <v>Present</v>
      </c>
      <c r="H1030" t="str">
        <f t="shared" si="33"/>
        <v>Finance</v>
      </c>
    </row>
    <row r="1031" spans="1:8" x14ac:dyDescent="0.35">
      <c r="A1031" s="2" t="s">
        <v>213</v>
      </c>
      <c r="B1031" s="3">
        <v>46286</v>
      </c>
      <c r="C1031" s="2" t="s">
        <v>247</v>
      </c>
      <c r="D1031" s="2" t="s">
        <v>17</v>
      </c>
      <c r="E1031" t="str">
        <f>IF(OR(A1031="", B1031=""), "Check missing data", IF(COUNTIFS($A$2:A1031, A1031, $B$2:B1031, B1031)&gt;1, "Possible Duplicate", "First Occurrence"))</f>
        <v>First Occurrence</v>
      </c>
      <c r="F1031" t="str">
        <f t="shared" si="32"/>
        <v>Late</v>
      </c>
      <c r="H1031" t="str">
        <f t="shared" si="33"/>
        <v>Finance</v>
      </c>
    </row>
    <row r="1032" spans="1:8" x14ac:dyDescent="0.35">
      <c r="A1032" s="2" t="s">
        <v>213</v>
      </c>
      <c r="B1032" s="3">
        <v>46252</v>
      </c>
      <c r="C1032" s="2" t="s">
        <v>246</v>
      </c>
      <c r="D1032" s="2" t="s">
        <v>17</v>
      </c>
      <c r="E1032" t="str">
        <f>IF(OR(A1032="", B1032=""), "Check missing data", IF(COUNTIFS($A$2:A1032, A1032, $B$2:B1032, B1032)&gt;1, "Possible Duplicate", "First Occurrence"))</f>
        <v>First Occurrence</v>
      </c>
      <c r="F1032" t="str">
        <f t="shared" si="32"/>
        <v>Present</v>
      </c>
      <c r="H1032" t="str">
        <f t="shared" si="33"/>
        <v>Finance</v>
      </c>
    </row>
    <row r="1033" spans="1:8" x14ac:dyDescent="0.35">
      <c r="A1033" s="2" t="s">
        <v>213</v>
      </c>
      <c r="B1033" s="3">
        <v>46245</v>
      </c>
      <c r="C1033" s="2" t="s">
        <v>246</v>
      </c>
      <c r="D1033" s="2" t="s">
        <v>17</v>
      </c>
      <c r="E1033" t="str">
        <f>IF(OR(A1033="", B1033=""), "Check missing data", IF(COUNTIFS($A$2:A1033, A1033, $B$2:B1033, B1033)&gt;1, "Possible Duplicate", "First Occurrence"))</f>
        <v>First Occurrence</v>
      </c>
      <c r="F1033" t="str">
        <f t="shared" si="32"/>
        <v>Present</v>
      </c>
      <c r="H1033" t="str">
        <f t="shared" si="33"/>
        <v>Finance</v>
      </c>
    </row>
    <row r="1034" spans="1:8" x14ac:dyDescent="0.35">
      <c r="A1034" s="2" t="s">
        <v>215</v>
      </c>
      <c r="B1034" s="3">
        <v>46289</v>
      </c>
      <c r="C1034" s="2" t="s">
        <v>30</v>
      </c>
      <c r="D1034" s="2" t="s">
        <v>41</v>
      </c>
      <c r="E1034" t="str">
        <f>IF(OR(A1034="", B1034=""), "Check missing data", IF(COUNTIFS($A$2:A1034, A1034, $B$2:B1034, B1034)&gt;1, "Possible Duplicate", "First Occurrence"))</f>
        <v>First Occurrence</v>
      </c>
      <c r="F1034" t="str">
        <f t="shared" si="32"/>
        <v>On Leave</v>
      </c>
      <c r="H1034" t="str">
        <f t="shared" si="33"/>
        <v>Human Resources</v>
      </c>
    </row>
    <row r="1035" spans="1:8" x14ac:dyDescent="0.35">
      <c r="A1035" s="2" t="s">
        <v>215</v>
      </c>
      <c r="B1035" s="3">
        <v>46237</v>
      </c>
      <c r="C1035" s="2" t="s">
        <v>246</v>
      </c>
      <c r="D1035" s="2" t="s">
        <v>41</v>
      </c>
      <c r="E1035" t="str">
        <f>IF(OR(A1035="", B1035=""), "Check missing data", IF(COUNTIFS($A$2:A1035, A1035, $B$2:B1035, B1035)&gt;1, "Possible Duplicate", "First Occurrence"))</f>
        <v>First Occurrence</v>
      </c>
      <c r="F1035" t="str">
        <f t="shared" si="32"/>
        <v>Present</v>
      </c>
      <c r="H1035" t="str">
        <f t="shared" si="33"/>
        <v>Human Resources</v>
      </c>
    </row>
    <row r="1036" spans="1:8" x14ac:dyDescent="0.35">
      <c r="A1036" s="2" t="s">
        <v>215</v>
      </c>
      <c r="B1036" s="3">
        <v>46286</v>
      </c>
      <c r="C1036" s="2" t="s">
        <v>245</v>
      </c>
      <c r="D1036" s="2" t="s">
        <v>41</v>
      </c>
      <c r="E1036" t="str">
        <f>IF(OR(A1036="", B1036=""), "Check missing data", IF(COUNTIFS($A$2:A1036, A1036, $B$2:B1036, B1036)&gt;1, "Possible Duplicate", "First Occurrence"))</f>
        <v>First Occurrence</v>
      </c>
      <c r="F1036" t="str">
        <f t="shared" si="32"/>
        <v>Absent</v>
      </c>
      <c r="H1036" t="str">
        <f t="shared" si="33"/>
        <v>Human Resources</v>
      </c>
    </row>
    <row r="1037" spans="1:8" x14ac:dyDescent="0.35">
      <c r="A1037" s="2" t="s">
        <v>215</v>
      </c>
      <c r="B1037" s="3">
        <v>46259</v>
      </c>
      <c r="C1037" s="2" t="s">
        <v>246</v>
      </c>
      <c r="D1037" s="2" t="s">
        <v>41</v>
      </c>
      <c r="E1037" t="str">
        <f>IF(OR(A1037="", B1037=""), "Check missing data", IF(COUNTIFS($A$2:A1037, A1037, $B$2:B1037, B1037)&gt;1, "Possible Duplicate", "First Occurrence"))</f>
        <v>First Occurrence</v>
      </c>
      <c r="F1037" t="str">
        <f t="shared" si="32"/>
        <v>Present</v>
      </c>
      <c r="H1037" t="str">
        <f t="shared" si="33"/>
        <v>Human Resources</v>
      </c>
    </row>
    <row r="1038" spans="1:8" x14ac:dyDescent="0.35">
      <c r="A1038" s="2" t="s">
        <v>215</v>
      </c>
      <c r="B1038" s="3">
        <v>46265</v>
      </c>
      <c r="C1038" s="2" t="s">
        <v>246</v>
      </c>
      <c r="D1038" s="2" t="s">
        <v>41</v>
      </c>
      <c r="E1038" t="str">
        <f>IF(OR(A1038="", B1038=""), "Check missing data", IF(COUNTIFS($A$2:A1038, A1038, $B$2:B1038, B1038)&gt;1, "Possible Duplicate", "First Occurrence"))</f>
        <v>First Occurrence</v>
      </c>
      <c r="F1038" t="str">
        <f t="shared" si="32"/>
        <v>Present</v>
      </c>
      <c r="H1038" t="str">
        <f t="shared" si="33"/>
        <v>Human Resources</v>
      </c>
    </row>
    <row r="1039" spans="1:8" x14ac:dyDescent="0.35">
      <c r="A1039" s="2" t="s">
        <v>215</v>
      </c>
      <c r="B1039" s="3">
        <v>46230</v>
      </c>
      <c r="C1039" s="2" t="s">
        <v>247</v>
      </c>
      <c r="D1039" s="2" t="s">
        <v>41</v>
      </c>
      <c r="E1039" t="str">
        <f>IF(OR(A1039="", B1039=""), "Check missing data", IF(COUNTIFS($A$2:A1039, A1039, $B$2:B1039, B1039)&gt;1, "Possible Duplicate", "First Occurrence"))</f>
        <v>First Occurrence</v>
      </c>
      <c r="F1039" t="str">
        <f t="shared" si="32"/>
        <v>Late</v>
      </c>
      <c r="H1039" t="str">
        <f t="shared" si="33"/>
        <v>Human Resources</v>
      </c>
    </row>
    <row r="1040" spans="1:8" x14ac:dyDescent="0.35">
      <c r="A1040" s="2" t="s">
        <v>215</v>
      </c>
      <c r="B1040" s="3">
        <v>46233</v>
      </c>
      <c r="C1040" s="2" t="s">
        <v>246</v>
      </c>
      <c r="D1040" s="2" t="s">
        <v>41</v>
      </c>
      <c r="E1040" t="str">
        <f>IF(OR(A1040="", B1040=""), "Check missing data", IF(COUNTIFS($A$2:A1040, A1040, $B$2:B1040, B1040)&gt;1, "Possible Duplicate", "First Occurrence"))</f>
        <v>First Occurrence</v>
      </c>
      <c r="F1040" t="str">
        <f t="shared" si="32"/>
        <v>Present</v>
      </c>
      <c r="H1040" t="str">
        <f t="shared" si="33"/>
        <v>Human Resources</v>
      </c>
    </row>
    <row r="1041" spans="1:8" x14ac:dyDescent="0.35">
      <c r="A1041" s="2" t="s">
        <v>215</v>
      </c>
      <c r="B1041" s="3">
        <v>46293</v>
      </c>
      <c r="C1041" s="2" t="s">
        <v>30</v>
      </c>
      <c r="D1041" s="2" t="s">
        <v>41</v>
      </c>
      <c r="E1041" t="str">
        <f>IF(OR(A1041="", B1041=""), "Check missing data", IF(COUNTIFS($A$2:A1041, A1041, $B$2:B1041, B1041)&gt;1, "Possible Duplicate", "First Occurrence"))</f>
        <v>First Occurrence</v>
      </c>
      <c r="F1041" t="str">
        <f t="shared" si="32"/>
        <v>On Leave</v>
      </c>
      <c r="H1041" t="str">
        <f t="shared" si="33"/>
        <v>Human Resources</v>
      </c>
    </row>
    <row r="1042" spans="1:8" x14ac:dyDescent="0.35">
      <c r="A1042" s="2" t="s">
        <v>215</v>
      </c>
      <c r="B1042" s="3">
        <v>46261</v>
      </c>
      <c r="C1042" s="2" t="s">
        <v>246</v>
      </c>
      <c r="D1042" s="2" t="s">
        <v>41</v>
      </c>
      <c r="E1042" t="str">
        <f>IF(OR(A1042="", B1042=""), "Check missing data", IF(COUNTIFS($A$2:A1042, A1042, $B$2:B1042, B1042)&gt;1, "Possible Duplicate", "First Occurrence"))</f>
        <v>First Occurrence</v>
      </c>
      <c r="F1042" t="str">
        <f t="shared" si="32"/>
        <v>Present</v>
      </c>
      <c r="H1042" t="str">
        <f t="shared" si="33"/>
        <v>Human Resources</v>
      </c>
    </row>
    <row r="1043" spans="1:8" x14ac:dyDescent="0.35">
      <c r="A1043" s="2" t="s">
        <v>215</v>
      </c>
      <c r="B1043" s="3">
        <v>46282</v>
      </c>
      <c r="C1043" s="2" t="s">
        <v>246</v>
      </c>
      <c r="D1043" s="2" t="s">
        <v>41</v>
      </c>
      <c r="E1043" t="str">
        <f>IF(OR(A1043="", B1043=""), "Check missing data", IF(COUNTIFS($A$2:A1043, A1043, $B$2:B1043, B1043)&gt;1, "Possible Duplicate", "First Occurrence"))</f>
        <v>First Occurrence</v>
      </c>
      <c r="F1043" t="str">
        <f t="shared" si="32"/>
        <v>Present</v>
      </c>
      <c r="H1043" t="str">
        <f t="shared" si="33"/>
        <v>Human Resources</v>
      </c>
    </row>
    <row r="1044" spans="1:8" x14ac:dyDescent="0.35">
      <c r="A1044" s="2" t="s">
        <v>215</v>
      </c>
      <c r="B1044" s="3">
        <v>46255</v>
      </c>
      <c r="C1044" s="2" t="s">
        <v>247</v>
      </c>
      <c r="D1044" s="2" t="s">
        <v>41</v>
      </c>
      <c r="E1044" t="str">
        <f>IF(OR(A1044="", B1044=""), "Check missing data", IF(COUNTIFS($A$2:A1044, A1044, $B$2:B1044, B1044)&gt;1, "Possible Duplicate", "First Occurrence"))</f>
        <v>First Occurrence</v>
      </c>
      <c r="F1044" t="str">
        <f t="shared" si="32"/>
        <v>Late</v>
      </c>
      <c r="H1044" t="str">
        <f t="shared" si="33"/>
        <v>Human Resources</v>
      </c>
    </row>
    <row r="1045" spans="1:8" x14ac:dyDescent="0.35">
      <c r="A1045" s="2" t="s">
        <v>215</v>
      </c>
      <c r="B1045" s="3">
        <v>46213</v>
      </c>
      <c r="C1045" s="2" t="s">
        <v>247</v>
      </c>
      <c r="D1045" s="2" t="s">
        <v>41</v>
      </c>
      <c r="E1045" t="str">
        <f>IF(OR(A1045="", B1045=""), "Check missing data", IF(COUNTIFS($A$2:A1045, A1045, $B$2:B1045, B1045)&gt;1, "Possible Duplicate", "First Occurrence"))</f>
        <v>First Occurrence</v>
      </c>
      <c r="F1045" t="str">
        <f t="shared" si="32"/>
        <v>Late</v>
      </c>
      <c r="H1045" t="str">
        <f t="shared" si="33"/>
        <v>Human Resources</v>
      </c>
    </row>
    <row r="1046" spans="1:8" x14ac:dyDescent="0.35">
      <c r="A1046" s="2" t="s">
        <v>217</v>
      </c>
      <c r="B1046" s="3">
        <v>46265</v>
      </c>
      <c r="C1046" s="2" t="s">
        <v>30</v>
      </c>
      <c r="D1046" s="2" t="s">
        <v>41</v>
      </c>
      <c r="E1046" t="str">
        <f>IF(OR(A1046="", B1046=""), "Check missing data", IF(COUNTIFS($A$2:A1046, A1046, $B$2:B1046, B1046)&gt;1, "Possible Duplicate", "First Occurrence"))</f>
        <v>First Occurrence</v>
      </c>
      <c r="F1046" t="str">
        <f t="shared" si="32"/>
        <v>On Leave</v>
      </c>
      <c r="H1046" t="str">
        <f t="shared" si="33"/>
        <v>Human Resources</v>
      </c>
    </row>
    <row r="1047" spans="1:8" x14ac:dyDescent="0.35">
      <c r="A1047" s="2" t="s">
        <v>217</v>
      </c>
      <c r="B1047" s="3">
        <v>46211</v>
      </c>
      <c r="C1047" s="2" t="s">
        <v>245</v>
      </c>
      <c r="D1047" s="2" t="s">
        <v>41</v>
      </c>
      <c r="E1047" t="str">
        <f>IF(OR(A1047="", B1047=""), "Check missing data", IF(COUNTIFS($A$2:A1047, A1047, $B$2:B1047, B1047)&gt;1, "Possible Duplicate", "First Occurrence"))</f>
        <v>First Occurrence</v>
      </c>
      <c r="F1047" t="str">
        <f t="shared" si="32"/>
        <v>Absent</v>
      </c>
      <c r="H1047" t="str">
        <f t="shared" si="33"/>
        <v>Human Resources</v>
      </c>
    </row>
    <row r="1048" spans="1:8" x14ac:dyDescent="0.35">
      <c r="A1048" s="2" t="s">
        <v>217</v>
      </c>
      <c r="B1048" s="3">
        <v>46283</v>
      </c>
      <c r="C1048" s="2" t="s">
        <v>247</v>
      </c>
      <c r="D1048" s="2" t="s">
        <v>41</v>
      </c>
      <c r="E1048" t="str">
        <f>IF(OR(A1048="", B1048=""), "Check missing data", IF(COUNTIFS($A$2:A1048, A1048, $B$2:B1048, B1048)&gt;1, "Possible Duplicate", "First Occurrence"))</f>
        <v>First Occurrence</v>
      </c>
      <c r="F1048" t="str">
        <f t="shared" si="32"/>
        <v>Late</v>
      </c>
      <c r="H1048" t="str">
        <f t="shared" si="33"/>
        <v>Human Resources</v>
      </c>
    </row>
    <row r="1049" spans="1:8" x14ac:dyDescent="0.35">
      <c r="A1049" s="2" t="s">
        <v>217</v>
      </c>
      <c r="B1049" s="3">
        <v>46290</v>
      </c>
      <c r="C1049" s="2" t="s">
        <v>30</v>
      </c>
      <c r="D1049" s="2" t="s">
        <v>41</v>
      </c>
      <c r="E1049" t="str">
        <f>IF(OR(A1049="", B1049=""), "Check missing data", IF(COUNTIFS($A$2:A1049, A1049, $B$2:B1049, B1049)&gt;1, "Possible Duplicate", "First Occurrence"))</f>
        <v>First Occurrence</v>
      </c>
      <c r="F1049" t="str">
        <f t="shared" si="32"/>
        <v>On Leave</v>
      </c>
      <c r="H1049" t="str">
        <f t="shared" si="33"/>
        <v>Human Resources</v>
      </c>
    </row>
    <row r="1050" spans="1:8" x14ac:dyDescent="0.35">
      <c r="A1050" s="2" t="s">
        <v>217</v>
      </c>
      <c r="B1050" s="3">
        <v>46210</v>
      </c>
      <c r="C1050" s="2" t="s">
        <v>30</v>
      </c>
      <c r="D1050" s="2" t="s">
        <v>41</v>
      </c>
      <c r="E1050" t="str">
        <f>IF(OR(A1050="", B1050=""), "Check missing data", IF(COUNTIFS($A$2:A1050, A1050, $B$2:B1050, B1050)&gt;1, "Possible Duplicate", "First Occurrence"))</f>
        <v>First Occurrence</v>
      </c>
      <c r="F1050" t="str">
        <f t="shared" si="32"/>
        <v>On Leave</v>
      </c>
      <c r="H1050" t="str">
        <f t="shared" si="33"/>
        <v>Human Resources</v>
      </c>
    </row>
    <row r="1051" spans="1:8" x14ac:dyDescent="0.35">
      <c r="A1051" s="2" t="s">
        <v>217</v>
      </c>
      <c r="B1051" s="3">
        <v>46260</v>
      </c>
      <c r="C1051" s="2" t="s">
        <v>246</v>
      </c>
      <c r="D1051" s="2" t="s">
        <v>41</v>
      </c>
      <c r="E1051" t="str">
        <f>IF(OR(A1051="", B1051=""), "Check missing data", IF(COUNTIFS($A$2:A1051, A1051, $B$2:B1051, B1051)&gt;1, "Possible Duplicate", "First Occurrence"))</f>
        <v>First Occurrence</v>
      </c>
      <c r="F1051" t="str">
        <f t="shared" si="32"/>
        <v>Present</v>
      </c>
      <c r="H1051" t="str">
        <f t="shared" si="33"/>
        <v>Human Resources</v>
      </c>
    </row>
    <row r="1052" spans="1:8" x14ac:dyDescent="0.35">
      <c r="A1052" s="2" t="s">
        <v>217</v>
      </c>
      <c r="B1052" s="3">
        <v>46267</v>
      </c>
      <c r="C1052" s="2" t="s">
        <v>246</v>
      </c>
      <c r="D1052" s="2" t="s">
        <v>41</v>
      </c>
      <c r="E1052" t="str">
        <f>IF(OR(A1052="", B1052=""), "Check missing data", IF(COUNTIFS($A$2:A1052, A1052, $B$2:B1052, B1052)&gt;1, "Possible Duplicate", "First Occurrence"))</f>
        <v>First Occurrence</v>
      </c>
      <c r="F1052" t="str">
        <f t="shared" si="32"/>
        <v>Present</v>
      </c>
      <c r="H1052" t="str">
        <f t="shared" si="33"/>
        <v>Human Resources</v>
      </c>
    </row>
    <row r="1053" spans="1:8" x14ac:dyDescent="0.35">
      <c r="A1053" s="2" t="s">
        <v>217</v>
      </c>
      <c r="B1053" s="3">
        <v>46255</v>
      </c>
      <c r="C1053" s="2" t="s">
        <v>246</v>
      </c>
      <c r="D1053" s="2" t="s">
        <v>41</v>
      </c>
      <c r="E1053" t="str">
        <f>IF(OR(A1053="", B1053=""), "Check missing data", IF(COUNTIFS($A$2:A1053, A1053, $B$2:B1053, B1053)&gt;1, "Possible Duplicate", "First Occurrence"))</f>
        <v>First Occurrence</v>
      </c>
      <c r="F1053" t="str">
        <f t="shared" si="32"/>
        <v>Present</v>
      </c>
      <c r="H1053" t="str">
        <f t="shared" si="33"/>
        <v>Human Resources</v>
      </c>
    </row>
    <row r="1054" spans="1:8" x14ac:dyDescent="0.35">
      <c r="A1054" s="2" t="s">
        <v>217</v>
      </c>
      <c r="B1054" s="3">
        <v>46245</v>
      </c>
      <c r="C1054" s="2" t="s">
        <v>246</v>
      </c>
      <c r="D1054" s="2" t="s">
        <v>41</v>
      </c>
      <c r="E1054" t="str">
        <f>IF(OR(A1054="", B1054=""), "Check missing data", IF(COUNTIFS($A$2:A1054, A1054, $B$2:B1054, B1054)&gt;1, "Possible Duplicate", "First Occurrence"))</f>
        <v>First Occurrence</v>
      </c>
      <c r="F1054" t="str">
        <f t="shared" si="32"/>
        <v>Present</v>
      </c>
      <c r="H1054" t="str">
        <f t="shared" si="33"/>
        <v>Human Resources</v>
      </c>
    </row>
    <row r="1055" spans="1:8" x14ac:dyDescent="0.35">
      <c r="A1055" s="2" t="s">
        <v>217</v>
      </c>
      <c r="B1055" s="3">
        <v>46233</v>
      </c>
      <c r="C1055" s="2" t="s">
        <v>30</v>
      </c>
      <c r="D1055" s="2" t="s">
        <v>41</v>
      </c>
      <c r="E1055" t="str">
        <f>IF(OR(A1055="", B1055=""), "Check missing data", IF(COUNTIFS($A$2:A1055, A1055, $B$2:B1055, B1055)&gt;1, "Possible Duplicate", "First Occurrence"))</f>
        <v>First Occurrence</v>
      </c>
      <c r="F1055" t="str">
        <f t="shared" si="32"/>
        <v>On Leave</v>
      </c>
      <c r="H1055" t="str">
        <f t="shared" si="33"/>
        <v>Human Resources</v>
      </c>
    </row>
    <row r="1056" spans="1:8" x14ac:dyDescent="0.35">
      <c r="A1056" s="2" t="s">
        <v>217</v>
      </c>
      <c r="B1056" s="3">
        <v>46212</v>
      </c>
      <c r="C1056" s="2" t="s">
        <v>246</v>
      </c>
      <c r="D1056" s="2" t="s">
        <v>41</v>
      </c>
      <c r="E1056" t="str">
        <f>IF(OR(A1056="", B1056=""), "Check missing data", IF(COUNTIFS($A$2:A1056, A1056, $B$2:B1056, B1056)&gt;1, "Possible Duplicate", "First Occurrence"))</f>
        <v>First Occurrence</v>
      </c>
      <c r="F1056" t="str">
        <f t="shared" si="32"/>
        <v>Present</v>
      </c>
      <c r="H1056" t="str">
        <f t="shared" si="33"/>
        <v>Human Resources</v>
      </c>
    </row>
    <row r="1057" spans="1:8" x14ac:dyDescent="0.35">
      <c r="A1057" s="2" t="s">
        <v>217</v>
      </c>
      <c r="B1057" s="3">
        <v>46225</v>
      </c>
      <c r="C1057" s="2" t="s">
        <v>247</v>
      </c>
      <c r="D1057" s="2" t="s">
        <v>41</v>
      </c>
      <c r="E1057" t="str">
        <f>IF(OR(A1057="", B1057=""), "Check missing data", IF(COUNTIFS($A$2:A1057, A1057, $B$2:B1057, B1057)&gt;1, "Possible Duplicate", "First Occurrence"))</f>
        <v>First Occurrence</v>
      </c>
      <c r="F1057" t="str">
        <f t="shared" si="32"/>
        <v>Late</v>
      </c>
      <c r="H1057" t="str">
        <f t="shared" si="33"/>
        <v>Human Resources</v>
      </c>
    </row>
    <row r="1058" spans="1:8" x14ac:dyDescent="0.35">
      <c r="A1058" s="2" t="s">
        <v>219</v>
      </c>
      <c r="B1058" s="3">
        <v>46210</v>
      </c>
      <c r="C1058" s="2" t="s">
        <v>246</v>
      </c>
      <c r="D1058" s="2" t="s">
        <v>41</v>
      </c>
      <c r="E1058" t="str">
        <f>IF(OR(A1058="", B1058=""), "Check missing data", IF(COUNTIFS($A$2:A1058, A1058, $B$2:B1058, B1058)&gt;1, "Possible Duplicate", "First Occurrence"))</f>
        <v>First Occurrence</v>
      </c>
      <c r="F1058" t="str">
        <f t="shared" si="32"/>
        <v>Present</v>
      </c>
      <c r="H1058" t="str">
        <f t="shared" si="33"/>
        <v>Human Resources</v>
      </c>
    </row>
    <row r="1059" spans="1:8" x14ac:dyDescent="0.35">
      <c r="A1059" s="2" t="s">
        <v>219</v>
      </c>
      <c r="B1059" s="3">
        <v>46204</v>
      </c>
      <c r="C1059" s="2" t="s">
        <v>246</v>
      </c>
      <c r="D1059" s="2" t="s">
        <v>41</v>
      </c>
      <c r="E1059" t="str">
        <f>IF(OR(A1059="", B1059=""), "Check missing data", IF(COUNTIFS($A$2:A1059, A1059, $B$2:B1059, B1059)&gt;1, "Possible Duplicate", "First Occurrence"))</f>
        <v>First Occurrence</v>
      </c>
      <c r="F1059" t="str">
        <f t="shared" si="32"/>
        <v>Present</v>
      </c>
      <c r="H1059" t="str">
        <f t="shared" si="33"/>
        <v>Human Resources</v>
      </c>
    </row>
    <row r="1060" spans="1:8" x14ac:dyDescent="0.35">
      <c r="A1060" s="2" t="s">
        <v>219</v>
      </c>
      <c r="B1060" s="3">
        <v>46240</v>
      </c>
      <c r="C1060" s="2" t="s">
        <v>30</v>
      </c>
      <c r="D1060" s="2" t="s">
        <v>41</v>
      </c>
      <c r="E1060" t="str">
        <f>IF(OR(A1060="", B1060=""), "Check missing data", IF(COUNTIFS($A$2:A1060, A1060, $B$2:B1060, B1060)&gt;1, "Possible Duplicate", "First Occurrence"))</f>
        <v>First Occurrence</v>
      </c>
      <c r="F1060" t="str">
        <f t="shared" si="32"/>
        <v>On Leave</v>
      </c>
      <c r="H1060" t="str">
        <f t="shared" si="33"/>
        <v>Human Resources</v>
      </c>
    </row>
    <row r="1061" spans="1:8" x14ac:dyDescent="0.35">
      <c r="A1061" s="2" t="s">
        <v>219</v>
      </c>
      <c r="B1061" s="3">
        <v>46253</v>
      </c>
      <c r="C1061" s="2" t="s">
        <v>245</v>
      </c>
      <c r="D1061" s="2" t="s">
        <v>41</v>
      </c>
      <c r="E1061" t="str">
        <f>IF(OR(A1061="", B1061=""), "Check missing data", IF(COUNTIFS($A$2:A1061, A1061, $B$2:B1061, B1061)&gt;1, "Possible Duplicate", "First Occurrence"))</f>
        <v>First Occurrence</v>
      </c>
      <c r="F1061" t="str">
        <f t="shared" si="32"/>
        <v>Absent</v>
      </c>
      <c r="H1061" t="str">
        <f t="shared" si="33"/>
        <v>Human Resources</v>
      </c>
    </row>
    <row r="1062" spans="1:8" x14ac:dyDescent="0.35">
      <c r="A1062" s="2" t="s">
        <v>219</v>
      </c>
      <c r="B1062" s="3">
        <v>46254</v>
      </c>
      <c r="C1062" s="2" t="s">
        <v>246</v>
      </c>
      <c r="D1062" s="2" t="s">
        <v>41</v>
      </c>
      <c r="E1062" t="str">
        <f>IF(OR(A1062="", B1062=""), "Check missing data", IF(COUNTIFS($A$2:A1062, A1062, $B$2:B1062, B1062)&gt;1, "Possible Duplicate", "First Occurrence"))</f>
        <v>First Occurrence</v>
      </c>
      <c r="F1062" t="str">
        <f t="shared" si="32"/>
        <v>Present</v>
      </c>
      <c r="H1062" t="str">
        <f t="shared" si="33"/>
        <v>Human Resources</v>
      </c>
    </row>
    <row r="1063" spans="1:8" x14ac:dyDescent="0.35">
      <c r="A1063" s="2" t="s">
        <v>219</v>
      </c>
      <c r="B1063" s="3">
        <v>46280</v>
      </c>
      <c r="C1063" s="2" t="s">
        <v>247</v>
      </c>
      <c r="D1063" s="2" t="s">
        <v>41</v>
      </c>
      <c r="E1063" t="str">
        <f>IF(OR(A1063="", B1063=""), "Check missing data", IF(COUNTIFS($A$2:A1063, A1063, $B$2:B1063, B1063)&gt;1, "Possible Duplicate", "First Occurrence"))</f>
        <v>First Occurrence</v>
      </c>
      <c r="F1063" t="str">
        <f t="shared" si="32"/>
        <v>Late</v>
      </c>
      <c r="H1063" t="str">
        <f t="shared" si="33"/>
        <v>Human Resources</v>
      </c>
    </row>
    <row r="1064" spans="1:8" x14ac:dyDescent="0.35">
      <c r="A1064" s="2" t="s">
        <v>219</v>
      </c>
      <c r="B1064" s="3">
        <v>46259</v>
      </c>
      <c r="C1064" s="2" t="s">
        <v>246</v>
      </c>
      <c r="D1064" s="2" t="s">
        <v>41</v>
      </c>
      <c r="E1064" t="str">
        <f>IF(OR(A1064="", B1064=""), "Check missing data", IF(COUNTIFS($A$2:A1064, A1064, $B$2:B1064, B1064)&gt;1, "Possible Duplicate", "First Occurrence"))</f>
        <v>First Occurrence</v>
      </c>
      <c r="F1064" t="str">
        <f t="shared" si="32"/>
        <v>Present</v>
      </c>
      <c r="H1064" t="str">
        <f t="shared" si="33"/>
        <v>Human Resources</v>
      </c>
    </row>
    <row r="1065" spans="1:8" x14ac:dyDescent="0.35">
      <c r="A1065" s="2" t="s">
        <v>219</v>
      </c>
      <c r="B1065" s="3">
        <v>46233</v>
      </c>
      <c r="C1065" s="2" t="s">
        <v>247</v>
      </c>
      <c r="D1065" s="2" t="s">
        <v>41</v>
      </c>
      <c r="E1065" t="str">
        <f>IF(OR(A1065="", B1065=""), "Check missing data", IF(COUNTIFS($A$2:A1065, A1065, $B$2:B1065, B1065)&gt;1, "Possible Duplicate", "First Occurrence"))</f>
        <v>First Occurrence</v>
      </c>
      <c r="F1065" t="str">
        <f t="shared" si="32"/>
        <v>Late</v>
      </c>
      <c r="H1065" t="str">
        <f t="shared" si="33"/>
        <v>Human Resources</v>
      </c>
    </row>
    <row r="1066" spans="1:8" x14ac:dyDescent="0.35">
      <c r="A1066" s="2" t="s">
        <v>219</v>
      </c>
      <c r="B1066" s="3">
        <v>46268</v>
      </c>
      <c r="C1066" s="2" t="s">
        <v>246</v>
      </c>
      <c r="D1066" s="2" t="s">
        <v>41</v>
      </c>
      <c r="E1066" t="str">
        <f>IF(OR(A1066="", B1066=""), "Check missing data", IF(COUNTIFS($A$2:A1066, A1066, $B$2:B1066, B1066)&gt;1, "Possible Duplicate", "First Occurrence"))</f>
        <v>First Occurrence</v>
      </c>
      <c r="F1066" t="str">
        <f t="shared" si="32"/>
        <v>Present</v>
      </c>
      <c r="H1066" t="str">
        <f t="shared" si="33"/>
        <v>Human Resources</v>
      </c>
    </row>
    <row r="1067" spans="1:8" x14ac:dyDescent="0.35">
      <c r="A1067" s="2" t="s">
        <v>219</v>
      </c>
      <c r="B1067" s="3">
        <v>46230</v>
      </c>
      <c r="C1067" s="2" t="s">
        <v>247</v>
      </c>
      <c r="D1067" s="2" t="s">
        <v>41</v>
      </c>
      <c r="E1067" t="str">
        <f>IF(OR(A1067="", B1067=""), "Check missing data", IF(COUNTIFS($A$2:A1067, A1067, $B$2:B1067, B1067)&gt;1, "Possible Duplicate", "First Occurrence"))</f>
        <v>First Occurrence</v>
      </c>
      <c r="F1067" t="str">
        <f t="shared" si="32"/>
        <v>Late</v>
      </c>
      <c r="H1067" t="str">
        <f t="shared" si="33"/>
        <v>Human Resources</v>
      </c>
    </row>
    <row r="1068" spans="1:8" x14ac:dyDescent="0.35">
      <c r="A1068" s="2" t="s">
        <v>219</v>
      </c>
      <c r="B1068" s="3">
        <v>46295</v>
      </c>
      <c r="C1068" s="2" t="s">
        <v>246</v>
      </c>
      <c r="D1068" s="2" t="s">
        <v>41</v>
      </c>
      <c r="E1068" t="str">
        <f>IF(OR(A1068="", B1068=""), "Check missing data", IF(COUNTIFS($A$2:A1068, A1068, $B$2:B1068, B1068)&gt;1, "Possible Duplicate", "First Occurrence"))</f>
        <v>First Occurrence</v>
      </c>
      <c r="F1068" t="str">
        <f t="shared" si="32"/>
        <v>Present</v>
      </c>
      <c r="H1068" t="str">
        <f t="shared" si="33"/>
        <v>Human Resources</v>
      </c>
    </row>
    <row r="1069" spans="1:8" x14ac:dyDescent="0.35">
      <c r="A1069" s="2" t="s">
        <v>219</v>
      </c>
      <c r="B1069" s="3">
        <v>46238</v>
      </c>
      <c r="C1069" s="2" t="s">
        <v>246</v>
      </c>
      <c r="D1069" s="2" t="s">
        <v>41</v>
      </c>
      <c r="E1069" t="str">
        <f>IF(OR(A1069="", B1069=""), "Check missing data", IF(COUNTIFS($A$2:A1069, A1069, $B$2:B1069, B1069)&gt;1, "Possible Duplicate", "First Occurrence"))</f>
        <v>First Occurrence</v>
      </c>
      <c r="F1069" t="str">
        <f t="shared" si="32"/>
        <v>Present</v>
      </c>
      <c r="H1069" t="str">
        <f t="shared" si="33"/>
        <v>Human Resources</v>
      </c>
    </row>
    <row r="1070" spans="1:8" x14ac:dyDescent="0.35">
      <c r="A1070" s="2" t="s">
        <v>221</v>
      </c>
      <c r="B1070" s="3">
        <v>46225</v>
      </c>
      <c r="C1070" s="2" t="s">
        <v>245</v>
      </c>
      <c r="D1070" s="2" t="s">
        <v>22</v>
      </c>
      <c r="E1070" t="str">
        <f>IF(OR(A1070="", B1070=""), "Check missing data", IF(COUNTIFS($A$2:A1070, A1070, $B$2:B1070, B1070)&gt;1, "Possible Duplicate", "First Occurrence"))</f>
        <v>First Occurrence</v>
      </c>
      <c r="F1070" t="str">
        <f t="shared" si="32"/>
        <v>Absent</v>
      </c>
      <c r="H1070" t="str">
        <f t="shared" si="33"/>
        <v>IT</v>
      </c>
    </row>
    <row r="1071" spans="1:8" x14ac:dyDescent="0.35">
      <c r="A1071" s="2" t="s">
        <v>221</v>
      </c>
      <c r="B1071" s="3">
        <v>46295</v>
      </c>
      <c r="C1071" s="2" t="s">
        <v>245</v>
      </c>
      <c r="D1071" s="2" t="s">
        <v>22</v>
      </c>
      <c r="E1071" t="str">
        <f>IF(OR(A1071="", B1071=""), "Check missing data", IF(COUNTIFS($A$2:A1071, A1071, $B$2:B1071, B1071)&gt;1, "Possible Duplicate", "First Occurrence"))</f>
        <v>First Occurrence</v>
      </c>
      <c r="F1071" t="str">
        <f t="shared" si="32"/>
        <v>Absent</v>
      </c>
      <c r="H1071" t="str">
        <f t="shared" si="33"/>
        <v>IT</v>
      </c>
    </row>
    <row r="1072" spans="1:8" x14ac:dyDescent="0.35">
      <c r="A1072" s="2" t="s">
        <v>221</v>
      </c>
      <c r="B1072" s="3">
        <v>46212</v>
      </c>
      <c r="C1072" s="2" t="s">
        <v>247</v>
      </c>
      <c r="D1072" s="2" t="s">
        <v>22</v>
      </c>
      <c r="E1072" t="str">
        <f>IF(OR(A1072="", B1072=""), "Check missing data", IF(COUNTIFS($A$2:A1072, A1072, $B$2:B1072, B1072)&gt;1, "Possible Duplicate", "First Occurrence"))</f>
        <v>First Occurrence</v>
      </c>
      <c r="F1072" t="str">
        <f t="shared" si="32"/>
        <v>Late</v>
      </c>
      <c r="H1072" t="str">
        <f t="shared" si="33"/>
        <v>IT</v>
      </c>
    </row>
    <row r="1073" spans="1:8" x14ac:dyDescent="0.35">
      <c r="A1073" s="2" t="s">
        <v>221</v>
      </c>
      <c r="B1073" s="3">
        <v>46269</v>
      </c>
      <c r="C1073" s="2" t="s">
        <v>246</v>
      </c>
      <c r="D1073" s="2" t="s">
        <v>22</v>
      </c>
      <c r="E1073" t="str">
        <f>IF(OR(A1073="", B1073=""), "Check missing data", IF(COUNTIFS($A$2:A1073, A1073, $B$2:B1073, B1073)&gt;1, "Possible Duplicate", "First Occurrence"))</f>
        <v>First Occurrence</v>
      </c>
      <c r="F1073" t="str">
        <f t="shared" si="32"/>
        <v>Present</v>
      </c>
      <c r="H1073" t="str">
        <f t="shared" si="33"/>
        <v>IT</v>
      </c>
    </row>
    <row r="1074" spans="1:8" x14ac:dyDescent="0.35">
      <c r="A1074" s="2" t="s">
        <v>221</v>
      </c>
      <c r="B1074" s="3">
        <v>46282</v>
      </c>
      <c r="C1074" s="2" t="s">
        <v>245</v>
      </c>
      <c r="D1074" s="2" t="s">
        <v>22</v>
      </c>
      <c r="E1074" t="str">
        <f>IF(OR(A1074="", B1074=""), "Check missing data", IF(COUNTIFS($A$2:A1074, A1074, $B$2:B1074, B1074)&gt;1, "Possible Duplicate", "First Occurrence"))</f>
        <v>First Occurrence</v>
      </c>
      <c r="F1074" t="str">
        <f t="shared" si="32"/>
        <v>Absent</v>
      </c>
      <c r="H1074" t="str">
        <f t="shared" si="33"/>
        <v>IT</v>
      </c>
    </row>
    <row r="1075" spans="1:8" x14ac:dyDescent="0.35">
      <c r="A1075" s="2" t="s">
        <v>221</v>
      </c>
      <c r="B1075" s="3">
        <v>46267</v>
      </c>
      <c r="C1075" s="2" t="s">
        <v>247</v>
      </c>
      <c r="D1075" s="2" t="s">
        <v>22</v>
      </c>
      <c r="E1075" t="str">
        <f>IF(OR(A1075="", B1075=""), "Check missing data", IF(COUNTIFS($A$2:A1075, A1075, $B$2:B1075, B1075)&gt;1, "Possible Duplicate", "First Occurrence"))</f>
        <v>First Occurrence</v>
      </c>
      <c r="F1075" t="str">
        <f t="shared" si="32"/>
        <v>Late</v>
      </c>
      <c r="H1075" t="str">
        <f t="shared" si="33"/>
        <v>IT</v>
      </c>
    </row>
    <row r="1076" spans="1:8" x14ac:dyDescent="0.35">
      <c r="A1076" s="2" t="s">
        <v>221</v>
      </c>
      <c r="B1076" s="3">
        <v>46272</v>
      </c>
      <c r="C1076" s="2" t="s">
        <v>30</v>
      </c>
      <c r="D1076" s="2" t="s">
        <v>22</v>
      </c>
      <c r="E1076" t="str">
        <f>IF(OR(A1076="", B1076=""), "Check missing data", IF(COUNTIFS($A$2:A1076, A1076, $B$2:B1076, B1076)&gt;1, "Possible Duplicate", "First Occurrence"))</f>
        <v>First Occurrence</v>
      </c>
      <c r="F1076" t="str">
        <f t="shared" si="32"/>
        <v>On Leave</v>
      </c>
      <c r="H1076" t="str">
        <f t="shared" si="33"/>
        <v>IT</v>
      </c>
    </row>
    <row r="1077" spans="1:8" x14ac:dyDescent="0.35">
      <c r="A1077" s="2" t="s">
        <v>221</v>
      </c>
      <c r="B1077" s="3">
        <v>46289</v>
      </c>
      <c r="C1077" s="2" t="s">
        <v>30</v>
      </c>
      <c r="D1077" s="2" t="s">
        <v>22</v>
      </c>
      <c r="E1077" t="str">
        <f>IF(OR(A1077="", B1077=""), "Check missing data", IF(COUNTIFS($A$2:A1077, A1077, $B$2:B1077, B1077)&gt;1, "Possible Duplicate", "First Occurrence"))</f>
        <v>First Occurrence</v>
      </c>
      <c r="F1077" t="str">
        <f t="shared" si="32"/>
        <v>On Leave</v>
      </c>
      <c r="H1077" t="str">
        <f t="shared" si="33"/>
        <v>IT</v>
      </c>
    </row>
    <row r="1078" spans="1:8" x14ac:dyDescent="0.35">
      <c r="A1078" s="2" t="s">
        <v>221</v>
      </c>
      <c r="B1078" s="3">
        <v>46240</v>
      </c>
      <c r="C1078" s="2" t="s">
        <v>246</v>
      </c>
      <c r="D1078" s="2" t="s">
        <v>22</v>
      </c>
      <c r="E1078" t="str">
        <f>IF(OR(A1078="", B1078=""), "Check missing data", IF(COUNTIFS($A$2:A1078, A1078, $B$2:B1078, B1078)&gt;1, "Possible Duplicate", "First Occurrence"))</f>
        <v>First Occurrence</v>
      </c>
      <c r="F1078" t="str">
        <f t="shared" si="32"/>
        <v>Present</v>
      </c>
      <c r="H1078" t="str">
        <f t="shared" si="33"/>
        <v>IT</v>
      </c>
    </row>
    <row r="1079" spans="1:8" x14ac:dyDescent="0.35">
      <c r="A1079" s="2" t="s">
        <v>221</v>
      </c>
      <c r="B1079" s="3">
        <v>46231</v>
      </c>
      <c r="C1079" s="2" t="s">
        <v>247</v>
      </c>
      <c r="D1079" s="2" t="s">
        <v>22</v>
      </c>
      <c r="E1079" t="str">
        <f>IF(OR(A1079="", B1079=""), "Check missing data", IF(COUNTIFS($A$2:A1079, A1079, $B$2:B1079, B1079)&gt;1, "Possible Duplicate", "First Occurrence"))</f>
        <v>First Occurrence</v>
      </c>
      <c r="F1079" t="str">
        <f t="shared" si="32"/>
        <v>Late</v>
      </c>
      <c r="H1079" t="str">
        <f t="shared" si="33"/>
        <v>IT</v>
      </c>
    </row>
    <row r="1080" spans="1:8" x14ac:dyDescent="0.35">
      <c r="A1080" s="2" t="s">
        <v>221</v>
      </c>
      <c r="B1080" s="3">
        <v>46290</v>
      </c>
      <c r="C1080" s="2" t="s">
        <v>30</v>
      </c>
      <c r="D1080" s="2" t="s">
        <v>22</v>
      </c>
      <c r="E1080" t="str">
        <f>IF(OR(A1080="", B1080=""), "Check missing data", IF(COUNTIFS($A$2:A1080, A1080, $B$2:B1080, B1080)&gt;1, "Possible Duplicate", "First Occurrence"))</f>
        <v>First Occurrence</v>
      </c>
      <c r="F1080" t="str">
        <f t="shared" si="32"/>
        <v>On Leave</v>
      </c>
      <c r="H1080" t="str">
        <f t="shared" si="33"/>
        <v>IT</v>
      </c>
    </row>
    <row r="1081" spans="1:8" x14ac:dyDescent="0.35">
      <c r="A1081" s="2" t="s">
        <v>221</v>
      </c>
      <c r="B1081" s="3">
        <v>46294</v>
      </c>
      <c r="C1081" s="2" t="s">
        <v>247</v>
      </c>
      <c r="D1081" s="2" t="s">
        <v>22</v>
      </c>
      <c r="E1081" t="str">
        <f>IF(OR(A1081="", B1081=""), "Check missing data", IF(COUNTIFS($A$2:A1081, A1081, $B$2:B1081, B1081)&gt;1, "Possible Duplicate", "First Occurrence"))</f>
        <v>First Occurrence</v>
      </c>
      <c r="F1081" t="str">
        <f t="shared" si="32"/>
        <v>Late</v>
      </c>
      <c r="H1081" t="str">
        <f t="shared" si="33"/>
        <v>IT</v>
      </c>
    </row>
    <row r="1082" spans="1:8" x14ac:dyDescent="0.35">
      <c r="A1082" s="2" t="s">
        <v>223</v>
      </c>
      <c r="B1082" s="3">
        <v>46253</v>
      </c>
      <c r="C1082" s="2" t="s">
        <v>247</v>
      </c>
      <c r="D1082" s="2" t="s">
        <v>33</v>
      </c>
      <c r="E1082" t="str">
        <f>IF(OR(A1082="", B1082=""), "Check missing data", IF(COUNTIFS($A$2:A1082, A1082, $B$2:B1082, B1082)&gt;1, "Possible Duplicate", "First Occurrence"))</f>
        <v>First Occurrence</v>
      </c>
      <c r="F1082" t="str">
        <f t="shared" si="32"/>
        <v>Late</v>
      </c>
      <c r="H1082" t="str">
        <f t="shared" si="33"/>
        <v>Sales</v>
      </c>
    </row>
    <row r="1083" spans="1:8" x14ac:dyDescent="0.35">
      <c r="A1083" s="2" t="s">
        <v>223</v>
      </c>
      <c r="B1083" s="3">
        <v>46287</v>
      </c>
      <c r="C1083" s="2" t="s">
        <v>30</v>
      </c>
      <c r="D1083" s="2" t="s">
        <v>33</v>
      </c>
      <c r="E1083" t="str">
        <f>IF(OR(A1083="", B1083=""), "Check missing data", IF(COUNTIFS($A$2:A1083, A1083, $B$2:B1083, B1083)&gt;1, "Possible Duplicate", "First Occurrence"))</f>
        <v>First Occurrence</v>
      </c>
      <c r="F1083" t="str">
        <f t="shared" si="32"/>
        <v>On Leave</v>
      </c>
      <c r="H1083" t="str">
        <f t="shared" si="33"/>
        <v>Sales</v>
      </c>
    </row>
    <row r="1084" spans="1:8" x14ac:dyDescent="0.35">
      <c r="A1084" s="2" t="s">
        <v>223</v>
      </c>
      <c r="B1084" s="3">
        <v>46251</v>
      </c>
      <c r="C1084" s="2" t="s">
        <v>245</v>
      </c>
      <c r="D1084" s="2" t="s">
        <v>33</v>
      </c>
      <c r="E1084" t="str">
        <f>IF(OR(A1084="", B1084=""), "Check missing data", IF(COUNTIFS($A$2:A1084, A1084, $B$2:B1084, B1084)&gt;1, "Possible Duplicate", "First Occurrence"))</f>
        <v>First Occurrence</v>
      </c>
      <c r="F1084" t="str">
        <f t="shared" si="32"/>
        <v>Absent</v>
      </c>
      <c r="H1084" t="str">
        <f t="shared" si="33"/>
        <v>Sales</v>
      </c>
    </row>
    <row r="1085" spans="1:8" x14ac:dyDescent="0.35">
      <c r="A1085" s="2" t="s">
        <v>223</v>
      </c>
      <c r="B1085" s="3">
        <v>46276</v>
      </c>
      <c r="C1085" s="2" t="s">
        <v>247</v>
      </c>
      <c r="D1085" s="2" t="s">
        <v>33</v>
      </c>
      <c r="E1085" t="str">
        <f>IF(OR(A1085="", B1085=""), "Check missing data", IF(COUNTIFS($A$2:A1085, A1085, $B$2:B1085, B1085)&gt;1, "Possible Duplicate", "First Occurrence"))</f>
        <v>First Occurrence</v>
      </c>
      <c r="F1085" t="str">
        <f t="shared" si="32"/>
        <v>Late</v>
      </c>
      <c r="H1085" t="str">
        <f t="shared" si="33"/>
        <v>Sales</v>
      </c>
    </row>
    <row r="1086" spans="1:8" x14ac:dyDescent="0.35">
      <c r="A1086" s="2" t="s">
        <v>223</v>
      </c>
      <c r="B1086" s="3">
        <v>46230</v>
      </c>
      <c r="C1086" s="2" t="s">
        <v>246</v>
      </c>
      <c r="D1086" s="2" t="s">
        <v>33</v>
      </c>
      <c r="E1086" t="str">
        <f>IF(OR(A1086="", B1086=""), "Check missing data", IF(COUNTIFS($A$2:A1086, A1086, $B$2:B1086, B1086)&gt;1, "Possible Duplicate", "First Occurrence"))</f>
        <v>First Occurrence</v>
      </c>
      <c r="F1086" t="str">
        <f t="shared" si="32"/>
        <v>Present</v>
      </c>
      <c r="H1086" t="str">
        <f t="shared" si="33"/>
        <v>Sales</v>
      </c>
    </row>
    <row r="1087" spans="1:8" x14ac:dyDescent="0.35">
      <c r="A1087" s="2" t="s">
        <v>223</v>
      </c>
      <c r="B1087" s="3">
        <v>46262</v>
      </c>
      <c r="C1087" s="2" t="s">
        <v>245</v>
      </c>
      <c r="D1087" s="2" t="s">
        <v>33</v>
      </c>
      <c r="E1087" t="str">
        <f>IF(OR(A1087="", B1087=""), "Check missing data", IF(COUNTIFS($A$2:A1087, A1087, $B$2:B1087, B1087)&gt;1, "Possible Duplicate", "First Occurrence"))</f>
        <v>First Occurrence</v>
      </c>
      <c r="F1087" t="str">
        <f t="shared" si="32"/>
        <v>Absent</v>
      </c>
      <c r="H1087" t="str">
        <f t="shared" si="33"/>
        <v>Sales</v>
      </c>
    </row>
    <row r="1088" spans="1:8" x14ac:dyDescent="0.35">
      <c r="A1088" s="2" t="s">
        <v>223</v>
      </c>
      <c r="B1088" s="3">
        <v>46220</v>
      </c>
      <c r="C1088" s="2" t="s">
        <v>246</v>
      </c>
      <c r="D1088" s="2" t="s">
        <v>33</v>
      </c>
      <c r="E1088" t="str">
        <f>IF(OR(A1088="", B1088=""), "Check missing data", IF(COUNTIFS($A$2:A1088, A1088, $B$2:B1088, B1088)&gt;1, "Possible Duplicate", "First Occurrence"))</f>
        <v>First Occurrence</v>
      </c>
      <c r="F1088" t="str">
        <f t="shared" si="32"/>
        <v>Present</v>
      </c>
      <c r="H1088" t="str">
        <f t="shared" si="33"/>
        <v>Sales</v>
      </c>
    </row>
    <row r="1089" spans="1:8" x14ac:dyDescent="0.35">
      <c r="A1089" s="2" t="s">
        <v>223</v>
      </c>
      <c r="B1089" s="3">
        <v>46252</v>
      </c>
      <c r="C1089" s="2" t="s">
        <v>246</v>
      </c>
      <c r="D1089" s="2" t="s">
        <v>33</v>
      </c>
      <c r="E1089" t="str">
        <f>IF(OR(A1089="", B1089=""), "Check missing data", IF(COUNTIFS($A$2:A1089, A1089, $B$2:B1089, B1089)&gt;1, "Possible Duplicate", "First Occurrence"))</f>
        <v>First Occurrence</v>
      </c>
      <c r="F1089" t="str">
        <f t="shared" si="32"/>
        <v>Present</v>
      </c>
      <c r="H1089" t="str">
        <f t="shared" si="33"/>
        <v>Sales</v>
      </c>
    </row>
    <row r="1090" spans="1:8" x14ac:dyDescent="0.35">
      <c r="A1090" s="2" t="s">
        <v>223</v>
      </c>
      <c r="B1090" s="3">
        <v>46254</v>
      </c>
      <c r="C1090" s="2" t="s">
        <v>246</v>
      </c>
      <c r="D1090" s="2" t="s">
        <v>33</v>
      </c>
      <c r="E1090" t="str">
        <f>IF(OR(A1090="", B1090=""), "Check missing data", IF(COUNTIFS($A$2:A1090, A1090, $B$2:B1090, B1090)&gt;1, "Possible Duplicate", "First Occurrence"))</f>
        <v>First Occurrence</v>
      </c>
      <c r="F1090" t="str">
        <f t="shared" si="32"/>
        <v>Present</v>
      </c>
      <c r="H1090" t="str">
        <f t="shared" si="33"/>
        <v>Sales</v>
      </c>
    </row>
    <row r="1091" spans="1:8" x14ac:dyDescent="0.35">
      <c r="A1091" s="2" t="s">
        <v>223</v>
      </c>
      <c r="B1091" s="3">
        <v>46206</v>
      </c>
      <c r="C1091" s="2" t="s">
        <v>246</v>
      </c>
      <c r="D1091" s="2" t="s">
        <v>33</v>
      </c>
      <c r="E1091" t="str">
        <f>IF(OR(A1091="", B1091=""), "Check missing data", IF(COUNTIFS($A$2:A1091, A1091, $B$2:B1091, B1091)&gt;1, "Possible Duplicate", "First Occurrence"))</f>
        <v>First Occurrence</v>
      </c>
      <c r="F1091" t="str">
        <f t="shared" ref="F1091:F1154" si="34">PROPER(TRIM(C1091))</f>
        <v>Present</v>
      </c>
      <c r="H1091" t="str">
        <f t="shared" ref="H1091:H1154" si="35">TRIM(CLEAN(D1091))</f>
        <v>Sales</v>
      </c>
    </row>
    <row r="1092" spans="1:8" x14ac:dyDescent="0.35">
      <c r="A1092" s="2" t="s">
        <v>223</v>
      </c>
      <c r="B1092" s="3">
        <v>46209</v>
      </c>
      <c r="C1092" s="2" t="s">
        <v>246</v>
      </c>
      <c r="D1092" s="2" t="s">
        <v>33</v>
      </c>
      <c r="E1092" t="str">
        <f>IF(OR(A1092="", B1092=""), "Check missing data", IF(COUNTIFS($A$2:A1092, A1092, $B$2:B1092, B1092)&gt;1, "Possible Duplicate", "First Occurrence"))</f>
        <v>First Occurrence</v>
      </c>
      <c r="F1092" t="str">
        <f t="shared" si="34"/>
        <v>Present</v>
      </c>
      <c r="H1092" t="str">
        <f t="shared" si="35"/>
        <v>Sales</v>
      </c>
    </row>
    <row r="1093" spans="1:8" x14ac:dyDescent="0.35">
      <c r="A1093" s="2" t="s">
        <v>223</v>
      </c>
      <c r="B1093" s="3">
        <v>46225</v>
      </c>
      <c r="C1093" s="2" t="s">
        <v>245</v>
      </c>
      <c r="D1093" s="2" t="s">
        <v>33</v>
      </c>
      <c r="E1093" t="str">
        <f>IF(OR(A1093="", B1093=""), "Check missing data", IF(COUNTIFS($A$2:A1093, A1093, $B$2:B1093, B1093)&gt;1, "Possible Duplicate", "First Occurrence"))</f>
        <v>First Occurrence</v>
      </c>
      <c r="F1093" t="str">
        <f t="shared" si="34"/>
        <v>Absent</v>
      </c>
      <c r="H1093" t="str">
        <f t="shared" si="35"/>
        <v>Sales</v>
      </c>
    </row>
    <row r="1094" spans="1:8" x14ac:dyDescent="0.35">
      <c r="A1094" s="2" t="s">
        <v>225</v>
      </c>
      <c r="B1094" s="3">
        <v>46275</v>
      </c>
      <c r="C1094" s="2" t="s">
        <v>245</v>
      </c>
      <c r="D1094" s="2" t="s">
        <v>41</v>
      </c>
      <c r="E1094" t="str">
        <f>IF(OR(A1094="", B1094=""), "Check missing data", IF(COUNTIFS($A$2:A1094, A1094, $B$2:B1094, B1094)&gt;1, "Possible Duplicate", "First Occurrence"))</f>
        <v>First Occurrence</v>
      </c>
      <c r="F1094" t="str">
        <f t="shared" si="34"/>
        <v>Absent</v>
      </c>
      <c r="H1094" t="str">
        <f t="shared" si="35"/>
        <v>Human Resources</v>
      </c>
    </row>
    <row r="1095" spans="1:8" x14ac:dyDescent="0.35">
      <c r="A1095" s="2" t="s">
        <v>225</v>
      </c>
      <c r="B1095" s="3">
        <v>46231</v>
      </c>
      <c r="C1095" s="2" t="s">
        <v>247</v>
      </c>
      <c r="D1095" s="2" t="s">
        <v>41</v>
      </c>
      <c r="E1095" t="str">
        <f>IF(OR(A1095="", B1095=""), "Check missing data", IF(COUNTIFS($A$2:A1095, A1095, $B$2:B1095, B1095)&gt;1, "Possible Duplicate", "First Occurrence"))</f>
        <v>First Occurrence</v>
      </c>
      <c r="F1095" t="str">
        <f t="shared" si="34"/>
        <v>Late</v>
      </c>
      <c r="H1095" t="str">
        <f t="shared" si="35"/>
        <v>Human Resources</v>
      </c>
    </row>
    <row r="1096" spans="1:8" x14ac:dyDescent="0.35">
      <c r="A1096" s="2" t="s">
        <v>225</v>
      </c>
      <c r="B1096" s="3">
        <v>46211</v>
      </c>
      <c r="C1096" s="2" t="s">
        <v>30</v>
      </c>
      <c r="D1096" s="2" t="s">
        <v>41</v>
      </c>
      <c r="E1096" t="str">
        <f>IF(OR(A1096="", B1096=""), "Check missing data", IF(COUNTIFS($A$2:A1096, A1096, $B$2:B1096, B1096)&gt;1, "Possible Duplicate", "First Occurrence"))</f>
        <v>First Occurrence</v>
      </c>
      <c r="F1096" t="str">
        <f t="shared" si="34"/>
        <v>On Leave</v>
      </c>
      <c r="H1096" t="str">
        <f t="shared" si="35"/>
        <v>Human Resources</v>
      </c>
    </row>
    <row r="1097" spans="1:8" x14ac:dyDescent="0.35">
      <c r="A1097" s="2" t="s">
        <v>225</v>
      </c>
      <c r="B1097" s="3">
        <v>46279</v>
      </c>
      <c r="C1097" s="2" t="s">
        <v>246</v>
      </c>
      <c r="D1097" s="2" t="s">
        <v>41</v>
      </c>
      <c r="E1097" t="str">
        <f>IF(OR(A1097="", B1097=""), "Check missing data", IF(COUNTIFS($A$2:A1097, A1097, $B$2:B1097, B1097)&gt;1, "Possible Duplicate", "First Occurrence"))</f>
        <v>First Occurrence</v>
      </c>
      <c r="F1097" t="str">
        <f t="shared" si="34"/>
        <v>Present</v>
      </c>
      <c r="H1097" t="str">
        <f t="shared" si="35"/>
        <v>Human Resources</v>
      </c>
    </row>
    <row r="1098" spans="1:8" x14ac:dyDescent="0.35">
      <c r="A1098" s="2" t="s">
        <v>225</v>
      </c>
      <c r="B1098" s="3">
        <v>46290</v>
      </c>
      <c r="C1098" s="2" t="s">
        <v>245</v>
      </c>
      <c r="D1098" s="2" t="s">
        <v>41</v>
      </c>
      <c r="E1098" t="str">
        <f>IF(OR(A1098="", B1098=""), "Check missing data", IF(COUNTIFS($A$2:A1098, A1098, $B$2:B1098, B1098)&gt;1, "Possible Duplicate", "First Occurrence"))</f>
        <v>First Occurrence</v>
      </c>
      <c r="F1098" t="str">
        <f t="shared" si="34"/>
        <v>Absent</v>
      </c>
      <c r="H1098" t="str">
        <f t="shared" si="35"/>
        <v>Human Resources</v>
      </c>
    </row>
    <row r="1099" spans="1:8" x14ac:dyDescent="0.35">
      <c r="A1099" s="2" t="s">
        <v>225</v>
      </c>
      <c r="B1099" s="3">
        <v>46223</v>
      </c>
      <c r="C1099" s="2" t="s">
        <v>246</v>
      </c>
      <c r="D1099" s="2" t="s">
        <v>41</v>
      </c>
      <c r="E1099" t="str">
        <f>IF(OR(A1099="", B1099=""), "Check missing data", IF(COUNTIFS($A$2:A1099, A1099, $B$2:B1099, B1099)&gt;1, "Possible Duplicate", "First Occurrence"))</f>
        <v>First Occurrence</v>
      </c>
      <c r="F1099" t="str">
        <f t="shared" si="34"/>
        <v>Present</v>
      </c>
      <c r="H1099" t="str">
        <f t="shared" si="35"/>
        <v>Human Resources</v>
      </c>
    </row>
    <row r="1100" spans="1:8" x14ac:dyDescent="0.35">
      <c r="A1100" s="2" t="s">
        <v>225</v>
      </c>
      <c r="B1100" s="3">
        <v>46289</v>
      </c>
      <c r="C1100" s="2" t="s">
        <v>245</v>
      </c>
      <c r="D1100" s="2" t="s">
        <v>41</v>
      </c>
      <c r="E1100" t="str">
        <f>IF(OR(A1100="", B1100=""), "Check missing data", IF(COUNTIFS($A$2:A1100, A1100, $B$2:B1100, B1100)&gt;1, "Possible Duplicate", "First Occurrence"))</f>
        <v>First Occurrence</v>
      </c>
      <c r="F1100" t="str">
        <f t="shared" si="34"/>
        <v>Absent</v>
      </c>
      <c r="H1100" t="str">
        <f t="shared" si="35"/>
        <v>Human Resources</v>
      </c>
    </row>
    <row r="1101" spans="1:8" x14ac:dyDescent="0.35">
      <c r="A1101" s="2" t="s">
        <v>225</v>
      </c>
      <c r="B1101" s="3">
        <v>46240</v>
      </c>
      <c r="C1101" s="2" t="s">
        <v>246</v>
      </c>
      <c r="D1101" s="2" t="s">
        <v>41</v>
      </c>
      <c r="E1101" t="str">
        <f>IF(OR(A1101="", B1101=""), "Check missing data", IF(COUNTIFS($A$2:A1101, A1101, $B$2:B1101, B1101)&gt;1, "Possible Duplicate", "First Occurrence"))</f>
        <v>First Occurrence</v>
      </c>
      <c r="F1101" t="str">
        <f t="shared" si="34"/>
        <v>Present</v>
      </c>
      <c r="H1101" t="str">
        <f t="shared" si="35"/>
        <v>Human Resources</v>
      </c>
    </row>
    <row r="1102" spans="1:8" x14ac:dyDescent="0.35">
      <c r="A1102" s="2" t="s">
        <v>225</v>
      </c>
      <c r="B1102" s="3">
        <v>46246</v>
      </c>
      <c r="C1102" s="2" t="s">
        <v>247</v>
      </c>
      <c r="D1102" s="2" t="s">
        <v>41</v>
      </c>
      <c r="E1102" t="str">
        <f>IF(OR(A1102="", B1102=""), "Check missing data", IF(COUNTIFS($A$2:A1102, A1102, $B$2:B1102, B1102)&gt;1, "Possible Duplicate", "First Occurrence"))</f>
        <v>First Occurrence</v>
      </c>
      <c r="F1102" t="str">
        <f t="shared" si="34"/>
        <v>Late</v>
      </c>
      <c r="H1102" t="str">
        <f t="shared" si="35"/>
        <v>Human Resources</v>
      </c>
    </row>
    <row r="1103" spans="1:8" x14ac:dyDescent="0.35">
      <c r="A1103" s="2" t="s">
        <v>225</v>
      </c>
      <c r="B1103" s="3">
        <v>46260</v>
      </c>
      <c r="C1103" s="2" t="s">
        <v>247</v>
      </c>
      <c r="D1103" s="2" t="s">
        <v>41</v>
      </c>
      <c r="E1103" t="str">
        <f>IF(OR(A1103="", B1103=""), "Check missing data", IF(COUNTIFS($A$2:A1103, A1103, $B$2:B1103, B1103)&gt;1, "Possible Duplicate", "First Occurrence"))</f>
        <v>First Occurrence</v>
      </c>
      <c r="F1103" t="str">
        <f t="shared" si="34"/>
        <v>Late</v>
      </c>
      <c r="H1103" t="str">
        <f t="shared" si="35"/>
        <v>Human Resources</v>
      </c>
    </row>
    <row r="1104" spans="1:8" x14ac:dyDescent="0.35">
      <c r="A1104" s="2" t="s">
        <v>225</v>
      </c>
      <c r="B1104" s="3">
        <v>46226</v>
      </c>
      <c r="C1104" s="2" t="s">
        <v>247</v>
      </c>
      <c r="D1104" s="2" t="s">
        <v>41</v>
      </c>
      <c r="E1104" t="str">
        <f>IF(OR(A1104="", B1104=""), "Check missing data", IF(COUNTIFS($A$2:A1104, A1104, $B$2:B1104, B1104)&gt;1, "Possible Duplicate", "First Occurrence"))</f>
        <v>First Occurrence</v>
      </c>
      <c r="F1104" t="str">
        <f t="shared" si="34"/>
        <v>Late</v>
      </c>
      <c r="H1104" t="str">
        <f t="shared" si="35"/>
        <v>Human Resources</v>
      </c>
    </row>
    <row r="1105" spans="1:8" x14ac:dyDescent="0.35">
      <c r="A1105" s="2" t="s">
        <v>225</v>
      </c>
      <c r="B1105" s="3">
        <v>46232</v>
      </c>
      <c r="C1105" s="2" t="s">
        <v>247</v>
      </c>
      <c r="D1105" s="2" t="s">
        <v>41</v>
      </c>
      <c r="E1105" t="str">
        <f>IF(OR(A1105="", B1105=""), "Check missing data", IF(COUNTIFS($A$2:A1105, A1105, $B$2:B1105, B1105)&gt;1, "Possible Duplicate", "First Occurrence"))</f>
        <v>First Occurrence</v>
      </c>
      <c r="F1105" t="str">
        <f t="shared" si="34"/>
        <v>Late</v>
      </c>
      <c r="H1105" t="str">
        <f t="shared" si="35"/>
        <v>Human Resources</v>
      </c>
    </row>
    <row r="1106" spans="1:8" x14ac:dyDescent="0.35">
      <c r="A1106" s="2" t="s">
        <v>227</v>
      </c>
      <c r="B1106" s="3">
        <v>46283</v>
      </c>
      <c r="C1106" s="2" t="s">
        <v>246</v>
      </c>
      <c r="D1106" s="2" t="s">
        <v>41</v>
      </c>
      <c r="E1106" t="str">
        <f>IF(OR(A1106="", B1106=""), "Check missing data", IF(COUNTIFS($A$2:A1106, A1106, $B$2:B1106, B1106)&gt;1, "Possible Duplicate", "First Occurrence"))</f>
        <v>First Occurrence</v>
      </c>
      <c r="F1106" t="str">
        <f t="shared" si="34"/>
        <v>Present</v>
      </c>
      <c r="H1106" t="str">
        <f t="shared" si="35"/>
        <v>Human Resources</v>
      </c>
    </row>
    <row r="1107" spans="1:8" x14ac:dyDescent="0.35">
      <c r="A1107" s="2" t="s">
        <v>227</v>
      </c>
      <c r="B1107" s="3">
        <v>46274</v>
      </c>
      <c r="C1107" s="2" t="s">
        <v>246</v>
      </c>
      <c r="D1107" s="2" t="s">
        <v>41</v>
      </c>
      <c r="E1107" t="str">
        <f>IF(OR(A1107="", B1107=""), "Check missing data", IF(COUNTIFS($A$2:A1107, A1107, $B$2:B1107, B1107)&gt;1, "Possible Duplicate", "First Occurrence"))</f>
        <v>First Occurrence</v>
      </c>
      <c r="F1107" t="str">
        <f t="shared" si="34"/>
        <v>Present</v>
      </c>
      <c r="H1107" t="str">
        <f t="shared" si="35"/>
        <v>Human Resources</v>
      </c>
    </row>
    <row r="1108" spans="1:8" x14ac:dyDescent="0.35">
      <c r="A1108" s="2" t="s">
        <v>227</v>
      </c>
      <c r="B1108" s="3">
        <v>46255</v>
      </c>
      <c r="C1108" s="2" t="s">
        <v>30</v>
      </c>
      <c r="D1108" s="2" t="s">
        <v>41</v>
      </c>
      <c r="E1108" t="str">
        <f>IF(OR(A1108="", B1108=""), "Check missing data", IF(COUNTIFS($A$2:A1108, A1108, $B$2:B1108, B1108)&gt;1, "Possible Duplicate", "First Occurrence"))</f>
        <v>First Occurrence</v>
      </c>
      <c r="F1108" t="str">
        <f t="shared" si="34"/>
        <v>On Leave</v>
      </c>
      <c r="H1108" t="str">
        <f t="shared" si="35"/>
        <v>Human Resources</v>
      </c>
    </row>
    <row r="1109" spans="1:8" x14ac:dyDescent="0.35">
      <c r="A1109" s="2" t="s">
        <v>227</v>
      </c>
      <c r="B1109" s="3">
        <v>46227</v>
      </c>
      <c r="C1109" s="2" t="s">
        <v>246</v>
      </c>
      <c r="D1109" s="2" t="s">
        <v>41</v>
      </c>
      <c r="E1109" t="str">
        <f>IF(OR(A1109="", B1109=""), "Check missing data", IF(COUNTIFS($A$2:A1109, A1109, $B$2:B1109, B1109)&gt;1, "Possible Duplicate", "First Occurrence"))</f>
        <v>First Occurrence</v>
      </c>
      <c r="F1109" t="str">
        <f t="shared" si="34"/>
        <v>Present</v>
      </c>
      <c r="H1109" t="str">
        <f t="shared" si="35"/>
        <v>Human Resources</v>
      </c>
    </row>
    <row r="1110" spans="1:8" x14ac:dyDescent="0.35">
      <c r="A1110" s="2" t="s">
        <v>227</v>
      </c>
      <c r="B1110" s="3">
        <v>46204</v>
      </c>
      <c r="C1110" s="2" t="s">
        <v>246</v>
      </c>
      <c r="D1110" s="2" t="s">
        <v>41</v>
      </c>
      <c r="E1110" t="str">
        <f>IF(OR(A1110="", B1110=""), "Check missing data", IF(COUNTIFS($A$2:A1110, A1110, $B$2:B1110, B1110)&gt;1, "Possible Duplicate", "First Occurrence"))</f>
        <v>First Occurrence</v>
      </c>
      <c r="F1110" t="str">
        <f t="shared" si="34"/>
        <v>Present</v>
      </c>
      <c r="H1110" t="str">
        <f t="shared" si="35"/>
        <v>Human Resources</v>
      </c>
    </row>
    <row r="1111" spans="1:8" x14ac:dyDescent="0.35">
      <c r="A1111" s="2" t="s">
        <v>227</v>
      </c>
      <c r="B1111" s="3">
        <v>46206</v>
      </c>
      <c r="C1111" s="2" t="s">
        <v>246</v>
      </c>
      <c r="D1111" s="2" t="s">
        <v>41</v>
      </c>
      <c r="E1111" t="str">
        <f>IF(OR(A1111="", B1111=""), "Check missing data", IF(COUNTIFS($A$2:A1111, A1111, $B$2:B1111, B1111)&gt;1, "Possible Duplicate", "First Occurrence"))</f>
        <v>First Occurrence</v>
      </c>
      <c r="F1111" t="str">
        <f t="shared" si="34"/>
        <v>Present</v>
      </c>
      <c r="H1111" t="str">
        <f t="shared" si="35"/>
        <v>Human Resources</v>
      </c>
    </row>
    <row r="1112" spans="1:8" x14ac:dyDescent="0.35">
      <c r="A1112" s="2" t="s">
        <v>227</v>
      </c>
      <c r="B1112" s="3">
        <v>46232</v>
      </c>
      <c r="C1112" s="2" t="s">
        <v>30</v>
      </c>
      <c r="D1112" s="2" t="s">
        <v>41</v>
      </c>
      <c r="E1112" t="str">
        <f>IF(OR(A1112="", B1112=""), "Check missing data", IF(COUNTIFS($A$2:A1112, A1112, $B$2:B1112, B1112)&gt;1, "Possible Duplicate", "First Occurrence"))</f>
        <v>First Occurrence</v>
      </c>
      <c r="F1112" t="str">
        <f t="shared" si="34"/>
        <v>On Leave</v>
      </c>
      <c r="H1112" t="str">
        <f t="shared" si="35"/>
        <v>Human Resources</v>
      </c>
    </row>
    <row r="1113" spans="1:8" x14ac:dyDescent="0.35">
      <c r="A1113" s="2" t="s">
        <v>227</v>
      </c>
      <c r="B1113" s="3">
        <v>46226</v>
      </c>
      <c r="C1113" s="2" t="s">
        <v>245</v>
      </c>
      <c r="D1113" s="2" t="s">
        <v>41</v>
      </c>
      <c r="E1113" t="str">
        <f>IF(OR(A1113="", B1113=""), "Check missing data", IF(COUNTIFS($A$2:A1113, A1113, $B$2:B1113, B1113)&gt;1, "Possible Duplicate", "First Occurrence"))</f>
        <v>First Occurrence</v>
      </c>
      <c r="F1113" t="str">
        <f t="shared" si="34"/>
        <v>Absent</v>
      </c>
      <c r="H1113" t="str">
        <f t="shared" si="35"/>
        <v>Human Resources</v>
      </c>
    </row>
    <row r="1114" spans="1:8" x14ac:dyDescent="0.35">
      <c r="A1114" s="2" t="s">
        <v>227</v>
      </c>
      <c r="B1114" s="3">
        <v>46273</v>
      </c>
      <c r="C1114" s="2" t="s">
        <v>247</v>
      </c>
      <c r="D1114" s="2" t="s">
        <v>41</v>
      </c>
      <c r="E1114" t="str">
        <f>IF(OR(A1114="", B1114=""), "Check missing data", IF(COUNTIFS($A$2:A1114, A1114, $B$2:B1114, B1114)&gt;1, "Possible Duplicate", "First Occurrence"))</f>
        <v>First Occurrence</v>
      </c>
      <c r="F1114" t="str">
        <f t="shared" si="34"/>
        <v>Late</v>
      </c>
      <c r="H1114" t="str">
        <f t="shared" si="35"/>
        <v>Human Resources</v>
      </c>
    </row>
    <row r="1115" spans="1:8" x14ac:dyDescent="0.35">
      <c r="A1115" s="2" t="s">
        <v>227</v>
      </c>
      <c r="B1115" s="3">
        <v>46258</v>
      </c>
      <c r="C1115" s="2" t="s">
        <v>246</v>
      </c>
      <c r="D1115" s="2" t="s">
        <v>41</v>
      </c>
      <c r="E1115" t="str">
        <f>IF(OR(A1115="", B1115=""), "Check missing data", IF(COUNTIFS($A$2:A1115, A1115, $B$2:B1115, B1115)&gt;1, "Possible Duplicate", "First Occurrence"))</f>
        <v>First Occurrence</v>
      </c>
      <c r="F1115" t="str">
        <f t="shared" si="34"/>
        <v>Present</v>
      </c>
      <c r="H1115" t="str">
        <f t="shared" si="35"/>
        <v>Human Resources</v>
      </c>
    </row>
    <row r="1116" spans="1:8" x14ac:dyDescent="0.35">
      <c r="A1116" s="2" t="s">
        <v>227</v>
      </c>
      <c r="B1116" s="3">
        <v>46282</v>
      </c>
      <c r="C1116" s="2" t="s">
        <v>247</v>
      </c>
      <c r="D1116" s="2" t="s">
        <v>41</v>
      </c>
      <c r="E1116" t="str">
        <f>IF(OR(A1116="", B1116=""), "Check missing data", IF(COUNTIFS($A$2:A1116, A1116, $B$2:B1116, B1116)&gt;1, "Possible Duplicate", "First Occurrence"))</f>
        <v>First Occurrence</v>
      </c>
      <c r="F1116" t="str">
        <f t="shared" si="34"/>
        <v>Late</v>
      </c>
      <c r="H1116" t="str">
        <f t="shared" si="35"/>
        <v>Human Resources</v>
      </c>
    </row>
    <row r="1117" spans="1:8" x14ac:dyDescent="0.35">
      <c r="A1117" s="2" t="s">
        <v>227</v>
      </c>
      <c r="B1117" s="3">
        <v>46233</v>
      </c>
      <c r="C1117" s="2" t="s">
        <v>246</v>
      </c>
      <c r="D1117" s="2" t="s">
        <v>41</v>
      </c>
      <c r="E1117" t="str">
        <f>IF(OR(A1117="", B1117=""), "Check missing data", IF(COUNTIFS($A$2:A1117, A1117, $B$2:B1117, B1117)&gt;1, "Possible Duplicate", "First Occurrence"))</f>
        <v>First Occurrence</v>
      </c>
      <c r="F1117" t="str">
        <f t="shared" si="34"/>
        <v>Present</v>
      </c>
      <c r="H1117" t="str">
        <f t="shared" si="35"/>
        <v>Human Resources</v>
      </c>
    </row>
    <row r="1118" spans="1:8" x14ac:dyDescent="0.35">
      <c r="A1118" s="2" t="s">
        <v>229</v>
      </c>
      <c r="B1118" s="3">
        <v>46254</v>
      </c>
      <c r="C1118" s="2" t="s">
        <v>246</v>
      </c>
      <c r="D1118" s="2" t="s">
        <v>17</v>
      </c>
      <c r="E1118" t="str">
        <f>IF(OR(A1118="", B1118=""), "Check missing data", IF(COUNTIFS($A$2:A1118, A1118, $B$2:B1118, B1118)&gt;1, "Possible Duplicate", "First Occurrence"))</f>
        <v>First Occurrence</v>
      </c>
      <c r="F1118" t="str">
        <f t="shared" si="34"/>
        <v>Present</v>
      </c>
      <c r="H1118" t="str">
        <f t="shared" si="35"/>
        <v>Finance</v>
      </c>
    </row>
    <row r="1119" spans="1:8" x14ac:dyDescent="0.35">
      <c r="A1119" s="2" t="s">
        <v>229</v>
      </c>
      <c r="B1119" s="3">
        <v>46260</v>
      </c>
      <c r="C1119" s="2" t="s">
        <v>247</v>
      </c>
      <c r="D1119" s="2" t="s">
        <v>17</v>
      </c>
      <c r="E1119" t="str">
        <f>IF(OR(A1119="", B1119=""), "Check missing data", IF(COUNTIFS($A$2:A1119, A1119, $B$2:B1119, B1119)&gt;1, "Possible Duplicate", "First Occurrence"))</f>
        <v>First Occurrence</v>
      </c>
      <c r="F1119" t="str">
        <f t="shared" si="34"/>
        <v>Late</v>
      </c>
      <c r="H1119" t="str">
        <f t="shared" si="35"/>
        <v>Finance</v>
      </c>
    </row>
    <row r="1120" spans="1:8" x14ac:dyDescent="0.35">
      <c r="A1120" s="2" t="s">
        <v>229</v>
      </c>
      <c r="B1120" s="3">
        <v>46231</v>
      </c>
      <c r="C1120" s="2" t="s">
        <v>247</v>
      </c>
      <c r="D1120" s="2" t="s">
        <v>17</v>
      </c>
      <c r="E1120" t="str">
        <f>IF(OR(A1120="", B1120=""), "Check missing data", IF(COUNTIFS($A$2:A1120, A1120, $B$2:B1120, B1120)&gt;1, "Possible Duplicate", "First Occurrence"))</f>
        <v>First Occurrence</v>
      </c>
      <c r="F1120" t="str">
        <f t="shared" si="34"/>
        <v>Late</v>
      </c>
      <c r="H1120" t="str">
        <f t="shared" si="35"/>
        <v>Finance</v>
      </c>
    </row>
    <row r="1121" spans="1:8" x14ac:dyDescent="0.35">
      <c r="A1121" s="2" t="s">
        <v>229</v>
      </c>
      <c r="B1121" s="3">
        <v>46283</v>
      </c>
      <c r="C1121" s="2" t="s">
        <v>246</v>
      </c>
      <c r="D1121" s="2" t="s">
        <v>17</v>
      </c>
      <c r="E1121" t="str">
        <f>IF(OR(A1121="", B1121=""), "Check missing data", IF(COUNTIFS($A$2:A1121, A1121, $B$2:B1121, B1121)&gt;1, "Possible Duplicate", "First Occurrence"))</f>
        <v>First Occurrence</v>
      </c>
      <c r="F1121" t="str">
        <f t="shared" si="34"/>
        <v>Present</v>
      </c>
      <c r="H1121" t="str">
        <f t="shared" si="35"/>
        <v>Finance</v>
      </c>
    </row>
    <row r="1122" spans="1:8" x14ac:dyDescent="0.35">
      <c r="A1122" s="2" t="s">
        <v>229</v>
      </c>
      <c r="B1122" s="3">
        <v>46245</v>
      </c>
      <c r="C1122" s="2" t="s">
        <v>30</v>
      </c>
      <c r="D1122" s="2" t="s">
        <v>17</v>
      </c>
      <c r="E1122" t="str">
        <f>IF(OR(A1122="", B1122=""), "Check missing data", IF(COUNTIFS($A$2:A1122, A1122, $B$2:B1122, B1122)&gt;1, "Possible Duplicate", "First Occurrence"))</f>
        <v>First Occurrence</v>
      </c>
      <c r="F1122" t="str">
        <f t="shared" si="34"/>
        <v>On Leave</v>
      </c>
      <c r="H1122" t="str">
        <f t="shared" si="35"/>
        <v>Finance</v>
      </c>
    </row>
    <row r="1123" spans="1:8" x14ac:dyDescent="0.35">
      <c r="A1123" s="2" t="s">
        <v>229</v>
      </c>
      <c r="B1123" s="3">
        <v>46218</v>
      </c>
      <c r="C1123" s="2" t="s">
        <v>247</v>
      </c>
      <c r="D1123" s="2" t="s">
        <v>17</v>
      </c>
      <c r="E1123" t="str">
        <f>IF(OR(A1123="", B1123=""), "Check missing data", IF(COUNTIFS($A$2:A1123, A1123, $B$2:B1123, B1123)&gt;1, "Possible Duplicate", "First Occurrence"))</f>
        <v>First Occurrence</v>
      </c>
      <c r="F1123" t="str">
        <f t="shared" si="34"/>
        <v>Late</v>
      </c>
      <c r="H1123" t="str">
        <f t="shared" si="35"/>
        <v>Finance</v>
      </c>
    </row>
    <row r="1124" spans="1:8" x14ac:dyDescent="0.35">
      <c r="A1124" s="2" t="s">
        <v>229</v>
      </c>
      <c r="B1124" s="3">
        <v>46266</v>
      </c>
      <c r="C1124" s="2" t="s">
        <v>246</v>
      </c>
      <c r="D1124" s="2" t="s">
        <v>17</v>
      </c>
      <c r="E1124" t="str">
        <f>IF(OR(A1124="", B1124=""), "Check missing data", IF(COUNTIFS($A$2:A1124, A1124, $B$2:B1124, B1124)&gt;1, "Possible Duplicate", "First Occurrence"))</f>
        <v>First Occurrence</v>
      </c>
      <c r="F1124" t="str">
        <f t="shared" si="34"/>
        <v>Present</v>
      </c>
      <c r="H1124" t="str">
        <f t="shared" si="35"/>
        <v>Finance</v>
      </c>
    </row>
    <row r="1125" spans="1:8" x14ac:dyDescent="0.35">
      <c r="A1125" s="2" t="s">
        <v>229</v>
      </c>
      <c r="B1125" s="3">
        <v>46223</v>
      </c>
      <c r="C1125" s="2" t="s">
        <v>30</v>
      </c>
      <c r="D1125" s="2" t="s">
        <v>17</v>
      </c>
      <c r="E1125" t="str">
        <f>IF(OR(A1125="", B1125=""), "Check missing data", IF(COUNTIFS($A$2:A1125, A1125, $B$2:B1125, B1125)&gt;1, "Possible Duplicate", "First Occurrence"))</f>
        <v>First Occurrence</v>
      </c>
      <c r="F1125" t="str">
        <f t="shared" si="34"/>
        <v>On Leave</v>
      </c>
      <c r="H1125" t="str">
        <f t="shared" si="35"/>
        <v>Finance</v>
      </c>
    </row>
    <row r="1126" spans="1:8" x14ac:dyDescent="0.35">
      <c r="A1126" s="2" t="s">
        <v>229</v>
      </c>
      <c r="B1126" s="3">
        <v>46211</v>
      </c>
      <c r="C1126" s="2" t="s">
        <v>30</v>
      </c>
      <c r="D1126" s="2" t="s">
        <v>17</v>
      </c>
      <c r="E1126" t="str">
        <f>IF(OR(A1126="", B1126=""), "Check missing data", IF(COUNTIFS($A$2:A1126, A1126, $B$2:B1126, B1126)&gt;1, "Possible Duplicate", "First Occurrence"))</f>
        <v>First Occurrence</v>
      </c>
      <c r="F1126" t="str">
        <f t="shared" si="34"/>
        <v>On Leave</v>
      </c>
      <c r="H1126" t="str">
        <f t="shared" si="35"/>
        <v>Finance</v>
      </c>
    </row>
    <row r="1127" spans="1:8" x14ac:dyDescent="0.35">
      <c r="A1127" s="2" t="s">
        <v>229</v>
      </c>
      <c r="B1127" s="3">
        <v>46287</v>
      </c>
      <c r="C1127" s="2" t="s">
        <v>245</v>
      </c>
      <c r="D1127" s="2" t="s">
        <v>17</v>
      </c>
      <c r="E1127" t="str">
        <f>IF(OR(A1127="", B1127=""), "Check missing data", IF(COUNTIFS($A$2:A1127, A1127, $B$2:B1127, B1127)&gt;1, "Possible Duplicate", "First Occurrence"))</f>
        <v>First Occurrence</v>
      </c>
      <c r="F1127" t="str">
        <f t="shared" si="34"/>
        <v>Absent</v>
      </c>
      <c r="H1127" t="str">
        <f t="shared" si="35"/>
        <v>Finance</v>
      </c>
    </row>
    <row r="1128" spans="1:8" x14ac:dyDescent="0.35">
      <c r="A1128" s="2" t="s">
        <v>229</v>
      </c>
      <c r="B1128" s="3">
        <v>46217</v>
      </c>
      <c r="C1128" s="2" t="s">
        <v>245</v>
      </c>
      <c r="D1128" s="2" t="s">
        <v>17</v>
      </c>
      <c r="E1128" t="str">
        <f>IF(OR(A1128="", B1128=""), "Check missing data", IF(COUNTIFS($A$2:A1128, A1128, $B$2:B1128, B1128)&gt;1, "Possible Duplicate", "First Occurrence"))</f>
        <v>First Occurrence</v>
      </c>
      <c r="F1128" t="str">
        <f t="shared" si="34"/>
        <v>Absent</v>
      </c>
      <c r="H1128" t="str">
        <f t="shared" si="35"/>
        <v>Finance</v>
      </c>
    </row>
    <row r="1129" spans="1:8" x14ac:dyDescent="0.35">
      <c r="A1129" s="2" t="s">
        <v>229</v>
      </c>
      <c r="B1129" s="3">
        <v>46232</v>
      </c>
      <c r="C1129" s="2" t="s">
        <v>245</v>
      </c>
      <c r="D1129" s="2" t="s">
        <v>17</v>
      </c>
      <c r="E1129" t="str">
        <f>IF(OR(A1129="", B1129=""), "Check missing data", IF(COUNTIFS($A$2:A1129, A1129, $B$2:B1129, B1129)&gt;1, "Possible Duplicate", "First Occurrence"))</f>
        <v>First Occurrence</v>
      </c>
      <c r="F1129" t="str">
        <f t="shared" si="34"/>
        <v>Absent</v>
      </c>
      <c r="H1129" t="str">
        <f t="shared" si="35"/>
        <v>Finance</v>
      </c>
    </row>
    <row r="1130" spans="1:8" x14ac:dyDescent="0.35">
      <c r="A1130" s="2" t="s">
        <v>231</v>
      </c>
      <c r="B1130" s="3">
        <v>46244</v>
      </c>
      <c r="C1130" s="2" t="s">
        <v>245</v>
      </c>
      <c r="D1130" s="2" t="s">
        <v>37</v>
      </c>
      <c r="E1130" t="str">
        <f>IF(OR(A1130="", B1130=""), "Check missing data", IF(COUNTIFS($A$2:A1130, A1130, $B$2:B1130, B1130)&gt;1, "Possible Duplicate", "First Occurrence"))</f>
        <v>First Occurrence</v>
      </c>
      <c r="F1130" t="str">
        <f t="shared" si="34"/>
        <v>Absent</v>
      </c>
      <c r="H1130" t="str">
        <f t="shared" si="35"/>
        <v>Customer Support</v>
      </c>
    </row>
    <row r="1131" spans="1:8" x14ac:dyDescent="0.35">
      <c r="A1131" s="2" t="s">
        <v>231</v>
      </c>
      <c r="B1131" s="3">
        <v>46252</v>
      </c>
      <c r="C1131" s="2" t="s">
        <v>245</v>
      </c>
      <c r="D1131" s="2" t="s">
        <v>37</v>
      </c>
      <c r="E1131" t="str">
        <f>IF(OR(A1131="", B1131=""), "Check missing data", IF(COUNTIFS($A$2:A1131, A1131, $B$2:B1131, B1131)&gt;1, "Possible Duplicate", "First Occurrence"))</f>
        <v>First Occurrence</v>
      </c>
      <c r="F1131" t="str">
        <f t="shared" si="34"/>
        <v>Absent</v>
      </c>
      <c r="H1131" t="str">
        <f t="shared" si="35"/>
        <v>Customer Support</v>
      </c>
    </row>
    <row r="1132" spans="1:8" x14ac:dyDescent="0.35">
      <c r="A1132" s="2" t="s">
        <v>231</v>
      </c>
      <c r="B1132" s="3">
        <v>46259</v>
      </c>
      <c r="C1132" s="2" t="s">
        <v>30</v>
      </c>
      <c r="D1132" s="2" t="s">
        <v>37</v>
      </c>
      <c r="E1132" t="str">
        <f>IF(OR(A1132="", B1132=""), "Check missing data", IF(COUNTIFS($A$2:A1132, A1132, $B$2:B1132, B1132)&gt;1, "Possible Duplicate", "First Occurrence"))</f>
        <v>First Occurrence</v>
      </c>
      <c r="F1132" t="str">
        <f t="shared" si="34"/>
        <v>On Leave</v>
      </c>
      <c r="H1132" t="str">
        <f t="shared" si="35"/>
        <v>Customer Support</v>
      </c>
    </row>
    <row r="1133" spans="1:8" x14ac:dyDescent="0.35">
      <c r="A1133" s="2" t="s">
        <v>231</v>
      </c>
      <c r="B1133" s="3">
        <v>46234</v>
      </c>
      <c r="C1133" s="2" t="s">
        <v>30</v>
      </c>
      <c r="D1133" s="2" t="s">
        <v>37</v>
      </c>
      <c r="E1133" t="str">
        <f>IF(OR(A1133="", B1133=""), "Check missing data", IF(COUNTIFS($A$2:A1133, A1133, $B$2:B1133, B1133)&gt;1, "Possible Duplicate", "First Occurrence"))</f>
        <v>First Occurrence</v>
      </c>
      <c r="F1133" t="str">
        <f t="shared" si="34"/>
        <v>On Leave</v>
      </c>
      <c r="H1133" t="str">
        <f t="shared" si="35"/>
        <v>Customer Support</v>
      </c>
    </row>
    <row r="1134" spans="1:8" x14ac:dyDescent="0.35">
      <c r="A1134" s="2" t="s">
        <v>231</v>
      </c>
      <c r="B1134" s="3">
        <v>46225</v>
      </c>
      <c r="C1134" s="2" t="s">
        <v>246</v>
      </c>
      <c r="D1134" s="2" t="s">
        <v>37</v>
      </c>
      <c r="E1134" t="str">
        <f>IF(OR(A1134="", B1134=""), "Check missing data", IF(COUNTIFS($A$2:A1134, A1134, $B$2:B1134, B1134)&gt;1, "Possible Duplicate", "First Occurrence"))</f>
        <v>First Occurrence</v>
      </c>
      <c r="F1134" t="str">
        <f t="shared" si="34"/>
        <v>Present</v>
      </c>
      <c r="H1134" t="str">
        <f t="shared" si="35"/>
        <v>Customer Support</v>
      </c>
    </row>
    <row r="1135" spans="1:8" x14ac:dyDescent="0.35">
      <c r="A1135" s="2" t="s">
        <v>231</v>
      </c>
      <c r="B1135" s="3">
        <v>46286</v>
      </c>
      <c r="C1135" s="2" t="s">
        <v>245</v>
      </c>
      <c r="D1135" s="2" t="s">
        <v>37</v>
      </c>
      <c r="E1135" t="str">
        <f>IF(OR(A1135="", B1135=""), "Check missing data", IF(COUNTIFS($A$2:A1135, A1135, $B$2:B1135, B1135)&gt;1, "Possible Duplicate", "First Occurrence"))</f>
        <v>First Occurrence</v>
      </c>
      <c r="F1135" t="str">
        <f t="shared" si="34"/>
        <v>Absent</v>
      </c>
      <c r="H1135" t="str">
        <f t="shared" si="35"/>
        <v>Customer Support</v>
      </c>
    </row>
    <row r="1136" spans="1:8" x14ac:dyDescent="0.35">
      <c r="A1136" s="2" t="s">
        <v>231</v>
      </c>
      <c r="B1136" s="3">
        <v>46206</v>
      </c>
      <c r="C1136" s="2" t="s">
        <v>247</v>
      </c>
      <c r="D1136" s="2" t="s">
        <v>37</v>
      </c>
      <c r="E1136" t="str">
        <f>IF(OR(A1136="", B1136=""), "Check missing data", IF(COUNTIFS($A$2:A1136, A1136, $B$2:B1136, B1136)&gt;1, "Possible Duplicate", "First Occurrence"))</f>
        <v>First Occurrence</v>
      </c>
      <c r="F1136" t="str">
        <f t="shared" si="34"/>
        <v>Late</v>
      </c>
      <c r="H1136" t="str">
        <f t="shared" si="35"/>
        <v>Customer Support</v>
      </c>
    </row>
    <row r="1137" spans="1:8" x14ac:dyDescent="0.35">
      <c r="A1137" s="2" t="s">
        <v>231</v>
      </c>
      <c r="B1137" s="3">
        <v>46281</v>
      </c>
      <c r="C1137" s="2" t="s">
        <v>247</v>
      </c>
      <c r="D1137" s="2" t="s">
        <v>37</v>
      </c>
      <c r="E1137" t="str">
        <f>IF(OR(A1137="", B1137=""), "Check missing data", IF(COUNTIFS($A$2:A1137, A1137, $B$2:B1137, B1137)&gt;1, "Possible Duplicate", "First Occurrence"))</f>
        <v>First Occurrence</v>
      </c>
      <c r="F1137" t="str">
        <f t="shared" si="34"/>
        <v>Late</v>
      </c>
      <c r="H1137" t="str">
        <f t="shared" si="35"/>
        <v>Customer Support</v>
      </c>
    </row>
    <row r="1138" spans="1:8" x14ac:dyDescent="0.35">
      <c r="A1138" s="2" t="s">
        <v>231</v>
      </c>
      <c r="B1138" s="3">
        <v>46289</v>
      </c>
      <c r="C1138" s="2" t="s">
        <v>246</v>
      </c>
      <c r="D1138" s="2" t="s">
        <v>37</v>
      </c>
      <c r="E1138" t="str">
        <f>IF(OR(A1138="", B1138=""), "Check missing data", IF(COUNTIFS($A$2:A1138, A1138, $B$2:B1138, B1138)&gt;1, "Possible Duplicate", "First Occurrence"))</f>
        <v>First Occurrence</v>
      </c>
      <c r="F1138" t="str">
        <f t="shared" si="34"/>
        <v>Present</v>
      </c>
      <c r="H1138" t="str">
        <f t="shared" si="35"/>
        <v>Customer Support</v>
      </c>
    </row>
    <row r="1139" spans="1:8" x14ac:dyDescent="0.35">
      <c r="A1139" s="2" t="s">
        <v>231</v>
      </c>
      <c r="B1139" s="3">
        <v>46253</v>
      </c>
      <c r="C1139" s="2" t="s">
        <v>30</v>
      </c>
      <c r="D1139" s="2" t="s">
        <v>37</v>
      </c>
      <c r="E1139" t="str">
        <f>IF(OR(A1139="", B1139=""), "Check missing data", IF(COUNTIFS($A$2:A1139, A1139, $B$2:B1139, B1139)&gt;1, "Possible Duplicate", "First Occurrence"))</f>
        <v>First Occurrence</v>
      </c>
      <c r="F1139" t="str">
        <f t="shared" si="34"/>
        <v>On Leave</v>
      </c>
      <c r="H1139" t="str">
        <f t="shared" si="35"/>
        <v>Customer Support</v>
      </c>
    </row>
    <row r="1140" spans="1:8" x14ac:dyDescent="0.35">
      <c r="A1140" s="2" t="s">
        <v>231</v>
      </c>
      <c r="B1140" s="3">
        <v>46288</v>
      </c>
      <c r="C1140" s="2" t="s">
        <v>246</v>
      </c>
      <c r="D1140" s="2" t="s">
        <v>37</v>
      </c>
      <c r="E1140" t="str">
        <f>IF(OR(A1140="", B1140=""), "Check missing data", IF(COUNTIFS($A$2:A1140, A1140, $B$2:B1140, B1140)&gt;1, "Possible Duplicate", "First Occurrence"))</f>
        <v>First Occurrence</v>
      </c>
      <c r="F1140" t="str">
        <f t="shared" si="34"/>
        <v>Present</v>
      </c>
      <c r="H1140" t="str">
        <f t="shared" si="35"/>
        <v>Customer Support</v>
      </c>
    </row>
    <row r="1141" spans="1:8" x14ac:dyDescent="0.35">
      <c r="A1141" s="2" t="s">
        <v>231</v>
      </c>
      <c r="B1141" s="3">
        <v>46287</v>
      </c>
      <c r="C1141" s="2" t="s">
        <v>247</v>
      </c>
      <c r="D1141" s="2" t="s">
        <v>37</v>
      </c>
      <c r="E1141" t="str">
        <f>IF(OR(A1141="", B1141=""), "Check missing data", IF(COUNTIFS($A$2:A1141, A1141, $B$2:B1141, B1141)&gt;1, "Possible Duplicate", "First Occurrence"))</f>
        <v>First Occurrence</v>
      </c>
      <c r="F1141" t="str">
        <f t="shared" si="34"/>
        <v>Late</v>
      </c>
      <c r="H1141" t="str">
        <f t="shared" si="35"/>
        <v>Customer Support</v>
      </c>
    </row>
    <row r="1142" spans="1:8" x14ac:dyDescent="0.35">
      <c r="A1142" s="2" t="s">
        <v>233</v>
      </c>
      <c r="B1142" s="3">
        <v>46254</v>
      </c>
      <c r="C1142" s="2" t="s">
        <v>246</v>
      </c>
      <c r="D1142" s="2" t="s">
        <v>22</v>
      </c>
      <c r="E1142" t="str">
        <f>IF(OR(A1142="", B1142=""), "Check missing data", IF(COUNTIFS($A$2:A1142, A1142, $B$2:B1142, B1142)&gt;1, "Possible Duplicate", "First Occurrence"))</f>
        <v>First Occurrence</v>
      </c>
      <c r="F1142" t="str">
        <f t="shared" si="34"/>
        <v>Present</v>
      </c>
      <c r="H1142" t="str">
        <f t="shared" si="35"/>
        <v>IT</v>
      </c>
    </row>
    <row r="1143" spans="1:8" x14ac:dyDescent="0.35">
      <c r="A1143" s="2" t="s">
        <v>233</v>
      </c>
      <c r="B1143" s="3">
        <v>46204</v>
      </c>
      <c r="C1143" s="2" t="s">
        <v>245</v>
      </c>
      <c r="D1143" s="2" t="s">
        <v>22</v>
      </c>
      <c r="E1143" t="str">
        <f>IF(OR(A1143="", B1143=""), "Check missing data", IF(COUNTIFS($A$2:A1143, A1143, $B$2:B1143, B1143)&gt;1, "Possible Duplicate", "First Occurrence"))</f>
        <v>First Occurrence</v>
      </c>
      <c r="F1143" t="str">
        <f t="shared" si="34"/>
        <v>Absent</v>
      </c>
      <c r="H1143" t="str">
        <f t="shared" si="35"/>
        <v>IT</v>
      </c>
    </row>
    <row r="1144" spans="1:8" x14ac:dyDescent="0.35">
      <c r="A1144" s="2" t="s">
        <v>233</v>
      </c>
      <c r="B1144" s="3">
        <v>46217</v>
      </c>
      <c r="C1144" s="2" t="s">
        <v>246</v>
      </c>
      <c r="D1144" s="2" t="s">
        <v>22</v>
      </c>
      <c r="E1144" t="str">
        <f>IF(OR(A1144="", B1144=""), "Check missing data", IF(COUNTIFS($A$2:A1144, A1144, $B$2:B1144, B1144)&gt;1, "Possible Duplicate", "First Occurrence"))</f>
        <v>First Occurrence</v>
      </c>
      <c r="F1144" t="str">
        <f t="shared" si="34"/>
        <v>Present</v>
      </c>
      <c r="H1144" t="str">
        <f t="shared" si="35"/>
        <v>IT</v>
      </c>
    </row>
    <row r="1145" spans="1:8" x14ac:dyDescent="0.35">
      <c r="A1145" s="2" t="s">
        <v>233</v>
      </c>
      <c r="B1145" s="3">
        <v>46248</v>
      </c>
      <c r="C1145" s="2" t="s">
        <v>246</v>
      </c>
      <c r="D1145" s="2" t="s">
        <v>22</v>
      </c>
      <c r="E1145" t="str">
        <f>IF(OR(A1145="", B1145=""), "Check missing data", IF(COUNTIFS($A$2:A1145, A1145, $B$2:B1145, B1145)&gt;1, "Possible Duplicate", "First Occurrence"))</f>
        <v>First Occurrence</v>
      </c>
      <c r="F1145" t="str">
        <f t="shared" si="34"/>
        <v>Present</v>
      </c>
      <c r="H1145" t="str">
        <f t="shared" si="35"/>
        <v>IT</v>
      </c>
    </row>
    <row r="1146" spans="1:8" x14ac:dyDescent="0.35">
      <c r="A1146" s="2" t="s">
        <v>233</v>
      </c>
      <c r="B1146" s="3">
        <v>46237</v>
      </c>
      <c r="C1146" s="2" t="s">
        <v>30</v>
      </c>
      <c r="D1146" s="2" t="s">
        <v>22</v>
      </c>
      <c r="E1146" t="str">
        <f>IF(OR(A1146="", B1146=""), "Check missing data", IF(COUNTIFS($A$2:A1146, A1146, $B$2:B1146, B1146)&gt;1, "Possible Duplicate", "First Occurrence"))</f>
        <v>First Occurrence</v>
      </c>
      <c r="F1146" t="str">
        <f t="shared" si="34"/>
        <v>On Leave</v>
      </c>
      <c r="H1146" t="str">
        <f t="shared" si="35"/>
        <v>IT</v>
      </c>
    </row>
    <row r="1147" spans="1:8" x14ac:dyDescent="0.35">
      <c r="A1147" s="2" t="s">
        <v>233</v>
      </c>
      <c r="B1147" s="3">
        <v>46224</v>
      </c>
      <c r="C1147" s="2" t="s">
        <v>246</v>
      </c>
      <c r="D1147" s="2" t="s">
        <v>22</v>
      </c>
      <c r="E1147" t="str">
        <f>IF(OR(A1147="", B1147=""), "Check missing data", IF(COUNTIFS($A$2:A1147, A1147, $B$2:B1147, B1147)&gt;1, "Possible Duplicate", "First Occurrence"))</f>
        <v>First Occurrence</v>
      </c>
      <c r="F1147" t="str">
        <f t="shared" si="34"/>
        <v>Present</v>
      </c>
      <c r="H1147" t="str">
        <f t="shared" si="35"/>
        <v>IT</v>
      </c>
    </row>
    <row r="1148" spans="1:8" x14ac:dyDescent="0.35">
      <c r="A1148" s="2" t="s">
        <v>233</v>
      </c>
      <c r="B1148" s="3">
        <v>46282</v>
      </c>
      <c r="C1148" s="2" t="s">
        <v>246</v>
      </c>
      <c r="D1148" s="2" t="s">
        <v>22</v>
      </c>
      <c r="E1148" t="str">
        <f>IF(OR(A1148="", B1148=""), "Check missing data", IF(COUNTIFS($A$2:A1148, A1148, $B$2:B1148, B1148)&gt;1, "Possible Duplicate", "First Occurrence"))</f>
        <v>First Occurrence</v>
      </c>
      <c r="F1148" t="str">
        <f t="shared" si="34"/>
        <v>Present</v>
      </c>
      <c r="H1148" t="str">
        <f t="shared" si="35"/>
        <v>IT</v>
      </c>
    </row>
    <row r="1149" spans="1:8" x14ac:dyDescent="0.35">
      <c r="A1149" s="2" t="s">
        <v>233</v>
      </c>
      <c r="B1149" s="3">
        <v>46218</v>
      </c>
      <c r="C1149" s="2" t="s">
        <v>246</v>
      </c>
      <c r="D1149" s="2" t="s">
        <v>22</v>
      </c>
      <c r="E1149" t="str">
        <f>IF(OR(A1149="", B1149=""), "Check missing data", IF(COUNTIFS($A$2:A1149, A1149, $B$2:B1149, B1149)&gt;1, "Possible Duplicate", "First Occurrence"))</f>
        <v>First Occurrence</v>
      </c>
      <c r="F1149" t="str">
        <f t="shared" si="34"/>
        <v>Present</v>
      </c>
      <c r="H1149" t="str">
        <f t="shared" si="35"/>
        <v>IT</v>
      </c>
    </row>
    <row r="1150" spans="1:8" x14ac:dyDescent="0.35">
      <c r="A1150" s="2" t="s">
        <v>233</v>
      </c>
      <c r="B1150" s="3">
        <v>46223</v>
      </c>
      <c r="C1150" s="2" t="s">
        <v>246</v>
      </c>
      <c r="D1150" s="2" t="s">
        <v>22</v>
      </c>
      <c r="E1150" t="str">
        <f>IF(OR(A1150="", B1150=""), "Check missing data", IF(COUNTIFS($A$2:A1150, A1150, $B$2:B1150, B1150)&gt;1, "Possible Duplicate", "First Occurrence"))</f>
        <v>First Occurrence</v>
      </c>
      <c r="F1150" t="str">
        <f t="shared" si="34"/>
        <v>Present</v>
      </c>
      <c r="H1150" t="str">
        <f t="shared" si="35"/>
        <v>IT</v>
      </c>
    </row>
    <row r="1151" spans="1:8" x14ac:dyDescent="0.35">
      <c r="A1151" s="2" t="s">
        <v>233</v>
      </c>
      <c r="B1151" s="3">
        <v>46281</v>
      </c>
      <c r="C1151" s="2" t="s">
        <v>245</v>
      </c>
      <c r="D1151" s="2" t="s">
        <v>22</v>
      </c>
      <c r="E1151" t="str">
        <f>IF(OR(A1151="", B1151=""), "Check missing data", IF(COUNTIFS($A$2:A1151, A1151, $B$2:B1151, B1151)&gt;1, "Possible Duplicate", "First Occurrence"))</f>
        <v>First Occurrence</v>
      </c>
      <c r="F1151" t="str">
        <f t="shared" si="34"/>
        <v>Absent</v>
      </c>
      <c r="H1151" t="str">
        <f t="shared" si="35"/>
        <v>IT</v>
      </c>
    </row>
    <row r="1152" spans="1:8" x14ac:dyDescent="0.35">
      <c r="A1152" s="2" t="s">
        <v>233</v>
      </c>
      <c r="B1152" s="3">
        <v>46225</v>
      </c>
      <c r="C1152" s="2" t="s">
        <v>246</v>
      </c>
      <c r="D1152" s="2" t="s">
        <v>22</v>
      </c>
      <c r="E1152" t="str">
        <f>IF(OR(A1152="", B1152=""), "Check missing data", IF(COUNTIFS($A$2:A1152, A1152, $B$2:B1152, B1152)&gt;1, "Possible Duplicate", "First Occurrence"))</f>
        <v>First Occurrence</v>
      </c>
      <c r="F1152" t="str">
        <f t="shared" si="34"/>
        <v>Present</v>
      </c>
      <c r="H1152" t="str">
        <f t="shared" si="35"/>
        <v>IT</v>
      </c>
    </row>
    <row r="1153" spans="1:8" x14ac:dyDescent="0.35">
      <c r="A1153" s="2" t="s">
        <v>233</v>
      </c>
      <c r="B1153" s="3">
        <v>46219</v>
      </c>
      <c r="C1153" s="2" t="s">
        <v>245</v>
      </c>
      <c r="D1153" s="2" t="s">
        <v>22</v>
      </c>
      <c r="E1153" t="str">
        <f>IF(OR(A1153="", B1153=""), "Check missing data", IF(COUNTIFS($A$2:A1153, A1153, $B$2:B1153, B1153)&gt;1, "Possible Duplicate", "First Occurrence"))</f>
        <v>First Occurrence</v>
      </c>
      <c r="F1153" t="str">
        <f t="shared" si="34"/>
        <v>Absent</v>
      </c>
      <c r="H1153" t="str">
        <f t="shared" si="35"/>
        <v>IT</v>
      </c>
    </row>
    <row r="1154" spans="1:8" x14ac:dyDescent="0.35">
      <c r="A1154" s="2" t="s">
        <v>235</v>
      </c>
      <c r="B1154" s="3">
        <v>46276</v>
      </c>
      <c r="C1154" s="2" t="s">
        <v>246</v>
      </c>
      <c r="D1154" s="2" t="s">
        <v>17</v>
      </c>
      <c r="E1154" t="str">
        <f>IF(OR(A1154="", B1154=""), "Check missing data", IF(COUNTIFS($A$2:A1154, A1154, $B$2:B1154, B1154)&gt;1, "Possible Duplicate", "First Occurrence"))</f>
        <v>First Occurrence</v>
      </c>
      <c r="F1154" t="str">
        <f t="shared" si="34"/>
        <v>Present</v>
      </c>
      <c r="H1154" t="str">
        <f t="shared" si="35"/>
        <v>Finance</v>
      </c>
    </row>
    <row r="1155" spans="1:8" x14ac:dyDescent="0.35">
      <c r="A1155" s="2" t="s">
        <v>235</v>
      </c>
      <c r="B1155" s="3">
        <v>46238</v>
      </c>
      <c r="C1155" s="2" t="s">
        <v>246</v>
      </c>
      <c r="D1155" s="2" t="s">
        <v>17</v>
      </c>
      <c r="E1155" t="str">
        <f>IF(OR(A1155="", B1155=""), "Check missing data", IF(COUNTIFS($A$2:A1155, A1155, $B$2:B1155, B1155)&gt;1, "Possible Duplicate", "First Occurrence"))</f>
        <v>First Occurrence</v>
      </c>
      <c r="F1155" t="str">
        <f t="shared" ref="F1155:F1201" si="36">PROPER(TRIM(C1155))</f>
        <v>Present</v>
      </c>
      <c r="H1155" t="str">
        <f t="shared" ref="H1155:H1201" si="37">TRIM(CLEAN(D1155))</f>
        <v>Finance</v>
      </c>
    </row>
    <row r="1156" spans="1:8" x14ac:dyDescent="0.35">
      <c r="A1156" s="2" t="s">
        <v>235</v>
      </c>
      <c r="B1156" s="3">
        <v>46280</v>
      </c>
      <c r="C1156" s="2" t="s">
        <v>30</v>
      </c>
      <c r="D1156" s="2" t="s">
        <v>17</v>
      </c>
      <c r="E1156" t="str">
        <f>IF(OR(A1156="", B1156=""), "Check missing data", IF(COUNTIFS($A$2:A1156, A1156, $B$2:B1156, B1156)&gt;1, "Possible Duplicate", "First Occurrence"))</f>
        <v>First Occurrence</v>
      </c>
      <c r="F1156" t="str">
        <f t="shared" si="36"/>
        <v>On Leave</v>
      </c>
      <c r="H1156" t="str">
        <f t="shared" si="37"/>
        <v>Finance</v>
      </c>
    </row>
    <row r="1157" spans="1:8" x14ac:dyDescent="0.35">
      <c r="A1157" s="2" t="s">
        <v>235</v>
      </c>
      <c r="B1157" s="3">
        <v>46262</v>
      </c>
      <c r="C1157" s="2" t="s">
        <v>245</v>
      </c>
      <c r="D1157" s="2" t="s">
        <v>17</v>
      </c>
      <c r="E1157" t="str">
        <f>IF(OR(A1157="", B1157=""), "Check missing data", IF(COUNTIFS($A$2:A1157, A1157, $B$2:B1157, B1157)&gt;1, "Possible Duplicate", "First Occurrence"))</f>
        <v>First Occurrence</v>
      </c>
      <c r="F1157" t="str">
        <f t="shared" si="36"/>
        <v>Absent</v>
      </c>
      <c r="H1157" t="str">
        <f t="shared" si="37"/>
        <v>Finance</v>
      </c>
    </row>
    <row r="1158" spans="1:8" x14ac:dyDescent="0.35">
      <c r="A1158" s="2" t="s">
        <v>235</v>
      </c>
      <c r="B1158" s="3">
        <v>46274</v>
      </c>
      <c r="C1158" s="2" t="s">
        <v>245</v>
      </c>
      <c r="D1158" s="2" t="s">
        <v>17</v>
      </c>
      <c r="E1158" t="str">
        <f>IF(OR(A1158="", B1158=""), "Check missing data", IF(COUNTIFS($A$2:A1158, A1158, $B$2:B1158, B1158)&gt;1, "Possible Duplicate", "First Occurrence"))</f>
        <v>First Occurrence</v>
      </c>
      <c r="F1158" t="str">
        <f t="shared" si="36"/>
        <v>Absent</v>
      </c>
      <c r="H1158" t="str">
        <f t="shared" si="37"/>
        <v>Finance</v>
      </c>
    </row>
    <row r="1159" spans="1:8" x14ac:dyDescent="0.35">
      <c r="A1159" s="2" t="s">
        <v>235</v>
      </c>
      <c r="B1159" s="3">
        <v>46239</v>
      </c>
      <c r="C1159" s="2" t="s">
        <v>246</v>
      </c>
      <c r="D1159" s="2" t="s">
        <v>17</v>
      </c>
      <c r="E1159" t="str">
        <f>IF(OR(A1159="", B1159=""), "Check missing data", IF(COUNTIFS($A$2:A1159, A1159, $B$2:B1159, B1159)&gt;1, "Possible Duplicate", "First Occurrence"))</f>
        <v>First Occurrence</v>
      </c>
      <c r="F1159" t="str">
        <f t="shared" si="36"/>
        <v>Present</v>
      </c>
      <c r="H1159" t="str">
        <f t="shared" si="37"/>
        <v>Finance</v>
      </c>
    </row>
    <row r="1160" spans="1:8" x14ac:dyDescent="0.35">
      <c r="A1160" s="2" t="s">
        <v>235</v>
      </c>
      <c r="B1160" s="3">
        <v>46254</v>
      </c>
      <c r="C1160" s="2" t="s">
        <v>246</v>
      </c>
      <c r="D1160" s="2" t="s">
        <v>17</v>
      </c>
      <c r="E1160" t="str">
        <f>IF(OR(A1160="", B1160=""), "Check missing data", IF(COUNTIFS($A$2:A1160, A1160, $B$2:B1160, B1160)&gt;1, "Possible Duplicate", "First Occurrence"))</f>
        <v>First Occurrence</v>
      </c>
      <c r="F1160" t="str">
        <f t="shared" si="36"/>
        <v>Present</v>
      </c>
      <c r="H1160" t="str">
        <f t="shared" si="37"/>
        <v>Finance</v>
      </c>
    </row>
    <row r="1161" spans="1:8" x14ac:dyDescent="0.35">
      <c r="A1161" s="2" t="s">
        <v>235</v>
      </c>
      <c r="B1161" s="3">
        <v>46275</v>
      </c>
      <c r="C1161" s="2" t="s">
        <v>246</v>
      </c>
      <c r="D1161" s="2" t="s">
        <v>17</v>
      </c>
      <c r="E1161" t="str">
        <f>IF(OR(A1161="", B1161=""), "Check missing data", IF(COUNTIFS($A$2:A1161, A1161, $B$2:B1161, B1161)&gt;1, "Possible Duplicate", "First Occurrence"))</f>
        <v>First Occurrence</v>
      </c>
      <c r="F1161" t="str">
        <f t="shared" si="36"/>
        <v>Present</v>
      </c>
      <c r="H1161" t="str">
        <f t="shared" si="37"/>
        <v>Finance</v>
      </c>
    </row>
    <row r="1162" spans="1:8" x14ac:dyDescent="0.35">
      <c r="A1162" s="2" t="s">
        <v>235</v>
      </c>
      <c r="B1162" s="3">
        <v>46259</v>
      </c>
      <c r="C1162" s="2" t="s">
        <v>30</v>
      </c>
      <c r="D1162" s="2" t="s">
        <v>17</v>
      </c>
      <c r="E1162" t="str">
        <f>IF(OR(A1162="", B1162=""), "Check missing data", IF(COUNTIFS($A$2:A1162, A1162, $B$2:B1162, B1162)&gt;1, "Possible Duplicate", "First Occurrence"))</f>
        <v>First Occurrence</v>
      </c>
      <c r="F1162" t="str">
        <f t="shared" si="36"/>
        <v>On Leave</v>
      </c>
      <c r="H1162" t="str">
        <f t="shared" si="37"/>
        <v>Finance</v>
      </c>
    </row>
    <row r="1163" spans="1:8" x14ac:dyDescent="0.35">
      <c r="A1163" s="2" t="s">
        <v>235</v>
      </c>
      <c r="B1163" s="3">
        <v>46220</v>
      </c>
      <c r="C1163" s="2" t="s">
        <v>245</v>
      </c>
      <c r="D1163" s="2" t="s">
        <v>17</v>
      </c>
      <c r="E1163" t="str">
        <f>IF(OR(A1163="", B1163=""), "Check missing data", IF(COUNTIFS($A$2:A1163, A1163, $B$2:B1163, B1163)&gt;1, "Possible Duplicate", "First Occurrence"))</f>
        <v>First Occurrence</v>
      </c>
      <c r="F1163" t="str">
        <f t="shared" si="36"/>
        <v>Absent</v>
      </c>
      <c r="H1163" t="str">
        <f t="shared" si="37"/>
        <v>Finance</v>
      </c>
    </row>
    <row r="1164" spans="1:8" x14ac:dyDescent="0.35">
      <c r="A1164" s="2" t="s">
        <v>235</v>
      </c>
      <c r="B1164" s="3">
        <v>46226</v>
      </c>
      <c r="C1164" s="2" t="s">
        <v>246</v>
      </c>
      <c r="D1164" s="2" t="s">
        <v>17</v>
      </c>
      <c r="E1164" t="str">
        <f>IF(OR(A1164="", B1164=""), "Check missing data", IF(COUNTIFS($A$2:A1164, A1164, $B$2:B1164, B1164)&gt;1, "Possible Duplicate", "First Occurrence"))</f>
        <v>First Occurrence</v>
      </c>
      <c r="F1164" t="str">
        <f t="shared" si="36"/>
        <v>Present</v>
      </c>
      <c r="H1164" t="str">
        <f t="shared" si="37"/>
        <v>Finance</v>
      </c>
    </row>
    <row r="1165" spans="1:8" x14ac:dyDescent="0.35">
      <c r="A1165" s="2" t="s">
        <v>235</v>
      </c>
      <c r="B1165" s="3">
        <v>46225</v>
      </c>
      <c r="C1165" s="2" t="s">
        <v>246</v>
      </c>
      <c r="D1165" s="2" t="s">
        <v>17</v>
      </c>
      <c r="E1165" t="str">
        <f>IF(OR(A1165="", B1165=""), "Check missing data", IF(COUNTIFS($A$2:A1165, A1165, $B$2:B1165, B1165)&gt;1, "Possible Duplicate", "First Occurrence"))</f>
        <v>First Occurrence</v>
      </c>
      <c r="F1165" t="str">
        <f t="shared" si="36"/>
        <v>Present</v>
      </c>
      <c r="H1165" t="str">
        <f t="shared" si="37"/>
        <v>Finance</v>
      </c>
    </row>
    <row r="1166" spans="1:8" x14ac:dyDescent="0.35">
      <c r="A1166" s="2" t="s">
        <v>237</v>
      </c>
      <c r="B1166" s="3">
        <v>46234</v>
      </c>
      <c r="C1166" s="2" t="s">
        <v>246</v>
      </c>
      <c r="D1166" s="2" t="s">
        <v>11</v>
      </c>
      <c r="E1166" t="str">
        <f>IF(OR(A1166="", B1166=""), "Check missing data", IF(COUNTIFS($A$2:A1166, A1166, $B$2:B1166, B1166)&gt;1, "Possible Duplicate", "First Occurrence"))</f>
        <v>First Occurrence</v>
      </c>
      <c r="F1166" t="str">
        <f t="shared" si="36"/>
        <v>Present</v>
      </c>
      <c r="H1166" t="str">
        <f t="shared" si="37"/>
        <v>Operations</v>
      </c>
    </row>
    <row r="1167" spans="1:8" x14ac:dyDescent="0.35">
      <c r="A1167" s="2" t="s">
        <v>237</v>
      </c>
      <c r="B1167" s="3">
        <v>46245</v>
      </c>
      <c r="C1167" s="2" t="s">
        <v>30</v>
      </c>
      <c r="D1167" s="2" t="s">
        <v>11</v>
      </c>
      <c r="E1167" t="str">
        <f>IF(OR(A1167="", B1167=""), "Check missing data", IF(COUNTIFS($A$2:A1167, A1167, $B$2:B1167, B1167)&gt;1, "Possible Duplicate", "First Occurrence"))</f>
        <v>First Occurrence</v>
      </c>
      <c r="F1167" t="str">
        <f t="shared" si="36"/>
        <v>On Leave</v>
      </c>
      <c r="H1167" t="str">
        <f t="shared" si="37"/>
        <v>Operations</v>
      </c>
    </row>
    <row r="1168" spans="1:8" x14ac:dyDescent="0.35">
      <c r="A1168" s="2" t="s">
        <v>237</v>
      </c>
      <c r="B1168" s="3">
        <v>46218</v>
      </c>
      <c r="C1168" s="2" t="s">
        <v>246</v>
      </c>
      <c r="D1168" s="2" t="s">
        <v>11</v>
      </c>
      <c r="E1168" t="str">
        <f>IF(OR(A1168="", B1168=""), "Check missing data", IF(COUNTIFS($A$2:A1168, A1168, $B$2:B1168, B1168)&gt;1, "Possible Duplicate", "First Occurrence"))</f>
        <v>First Occurrence</v>
      </c>
      <c r="F1168" t="str">
        <f t="shared" si="36"/>
        <v>Present</v>
      </c>
      <c r="H1168" t="str">
        <f t="shared" si="37"/>
        <v>Operations</v>
      </c>
    </row>
    <row r="1169" spans="1:8" x14ac:dyDescent="0.35">
      <c r="A1169" s="2" t="s">
        <v>237</v>
      </c>
      <c r="B1169" s="3">
        <v>46248</v>
      </c>
      <c r="C1169" s="2" t="s">
        <v>245</v>
      </c>
      <c r="D1169" s="2" t="s">
        <v>11</v>
      </c>
      <c r="E1169" t="str">
        <f>IF(OR(A1169="", B1169=""), "Check missing data", IF(COUNTIFS($A$2:A1169, A1169, $B$2:B1169, B1169)&gt;1, "Possible Duplicate", "First Occurrence"))</f>
        <v>First Occurrence</v>
      </c>
      <c r="F1169" t="str">
        <f t="shared" si="36"/>
        <v>Absent</v>
      </c>
      <c r="H1169" t="str">
        <f t="shared" si="37"/>
        <v>Operations</v>
      </c>
    </row>
    <row r="1170" spans="1:8" x14ac:dyDescent="0.35">
      <c r="A1170" s="2" t="s">
        <v>237</v>
      </c>
      <c r="B1170" s="3">
        <v>46269</v>
      </c>
      <c r="C1170" s="2" t="s">
        <v>246</v>
      </c>
      <c r="D1170" s="2" t="s">
        <v>11</v>
      </c>
      <c r="E1170" t="str">
        <f>IF(OR(A1170="", B1170=""), "Check missing data", IF(COUNTIFS($A$2:A1170, A1170, $B$2:B1170, B1170)&gt;1, "Possible Duplicate", "First Occurrence"))</f>
        <v>First Occurrence</v>
      </c>
      <c r="F1170" t="str">
        <f t="shared" si="36"/>
        <v>Present</v>
      </c>
      <c r="H1170" t="str">
        <f t="shared" si="37"/>
        <v>Operations</v>
      </c>
    </row>
    <row r="1171" spans="1:8" x14ac:dyDescent="0.35">
      <c r="A1171" s="2" t="s">
        <v>237</v>
      </c>
      <c r="B1171" s="3">
        <v>46232</v>
      </c>
      <c r="C1171" s="2" t="s">
        <v>246</v>
      </c>
      <c r="D1171" s="2" t="s">
        <v>11</v>
      </c>
      <c r="E1171" t="str">
        <f>IF(OR(A1171="", B1171=""), "Check missing data", IF(COUNTIFS($A$2:A1171, A1171, $B$2:B1171, B1171)&gt;1, "Possible Duplicate", "First Occurrence"))</f>
        <v>First Occurrence</v>
      </c>
      <c r="F1171" t="str">
        <f t="shared" si="36"/>
        <v>Present</v>
      </c>
      <c r="H1171" t="str">
        <f t="shared" si="37"/>
        <v>Operations</v>
      </c>
    </row>
    <row r="1172" spans="1:8" x14ac:dyDescent="0.35">
      <c r="A1172" s="2" t="s">
        <v>237</v>
      </c>
      <c r="B1172" s="3">
        <v>46204</v>
      </c>
      <c r="C1172" s="2" t="s">
        <v>246</v>
      </c>
      <c r="D1172" s="2" t="s">
        <v>11</v>
      </c>
      <c r="E1172" t="str">
        <f>IF(OR(A1172="", B1172=""), "Check missing data", IF(COUNTIFS($A$2:A1172, A1172, $B$2:B1172, B1172)&gt;1, "Possible Duplicate", "First Occurrence"))</f>
        <v>First Occurrence</v>
      </c>
      <c r="F1172" t="str">
        <f t="shared" si="36"/>
        <v>Present</v>
      </c>
      <c r="H1172" t="str">
        <f t="shared" si="37"/>
        <v>Operations</v>
      </c>
    </row>
    <row r="1173" spans="1:8" x14ac:dyDescent="0.35">
      <c r="A1173" s="2" t="s">
        <v>237</v>
      </c>
      <c r="B1173" s="3">
        <v>46272</v>
      </c>
      <c r="C1173" s="2" t="s">
        <v>246</v>
      </c>
      <c r="D1173" s="2" t="s">
        <v>11</v>
      </c>
      <c r="E1173" t="str">
        <f>IF(OR(A1173="", B1173=""), "Check missing data", IF(COUNTIFS($A$2:A1173, A1173, $B$2:B1173, B1173)&gt;1, "Possible Duplicate", "First Occurrence"))</f>
        <v>First Occurrence</v>
      </c>
      <c r="F1173" t="str">
        <f t="shared" si="36"/>
        <v>Present</v>
      </c>
      <c r="H1173" t="str">
        <f t="shared" si="37"/>
        <v>Operations</v>
      </c>
    </row>
    <row r="1174" spans="1:8" x14ac:dyDescent="0.35">
      <c r="A1174" s="2" t="s">
        <v>237</v>
      </c>
      <c r="B1174" s="3">
        <v>46279</v>
      </c>
      <c r="C1174" s="2" t="s">
        <v>246</v>
      </c>
      <c r="D1174" s="2" t="s">
        <v>11</v>
      </c>
      <c r="E1174" t="str">
        <f>IF(OR(A1174="", B1174=""), "Check missing data", IF(COUNTIFS($A$2:A1174, A1174, $B$2:B1174, B1174)&gt;1, "Possible Duplicate", "First Occurrence"))</f>
        <v>First Occurrence</v>
      </c>
      <c r="F1174" t="str">
        <f t="shared" si="36"/>
        <v>Present</v>
      </c>
      <c r="H1174" t="str">
        <f t="shared" si="37"/>
        <v>Operations</v>
      </c>
    </row>
    <row r="1175" spans="1:8" x14ac:dyDescent="0.35">
      <c r="A1175" s="2" t="s">
        <v>237</v>
      </c>
      <c r="B1175" s="3">
        <v>46225</v>
      </c>
      <c r="C1175" s="2" t="s">
        <v>246</v>
      </c>
      <c r="D1175" s="2" t="s">
        <v>11</v>
      </c>
      <c r="E1175" t="str">
        <f>IF(OR(A1175="", B1175=""), "Check missing data", IF(COUNTIFS($A$2:A1175, A1175, $B$2:B1175, B1175)&gt;1, "Possible Duplicate", "First Occurrence"))</f>
        <v>First Occurrence</v>
      </c>
      <c r="F1175" t="str">
        <f t="shared" si="36"/>
        <v>Present</v>
      </c>
      <c r="H1175" t="str">
        <f t="shared" si="37"/>
        <v>Operations</v>
      </c>
    </row>
    <row r="1176" spans="1:8" x14ac:dyDescent="0.35">
      <c r="A1176" s="2" t="s">
        <v>237</v>
      </c>
      <c r="B1176" s="3">
        <v>46240</v>
      </c>
      <c r="C1176" s="2" t="s">
        <v>247</v>
      </c>
      <c r="D1176" s="2" t="s">
        <v>11</v>
      </c>
      <c r="E1176" t="str">
        <f>IF(OR(A1176="", B1176=""), "Check missing data", IF(COUNTIFS($A$2:A1176, A1176, $B$2:B1176, B1176)&gt;1, "Possible Duplicate", "First Occurrence"))</f>
        <v>First Occurrence</v>
      </c>
      <c r="F1176" t="str">
        <f t="shared" si="36"/>
        <v>Late</v>
      </c>
      <c r="H1176" t="str">
        <f t="shared" si="37"/>
        <v>Operations</v>
      </c>
    </row>
    <row r="1177" spans="1:8" x14ac:dyDescent="0.35">
      <c r="A1177" s="2" t="s">
        <v>237</v>
      </c>
      <c r="B1177" s="3">
        <v>46213</v>
      </c>
      <c r="C1177" s="2" t="s">
        <v>245</v>
      </c>
      <c r="D1177" s="2" t="s">
        <v>11</v>
      </c>
      <c r="E1177" t="str">
        <f>IF(OR(A1177="", B1177=""), "Check missing data", IF(COUNTIFS($A$2:A1177, A1177, $B$2:B1177, B1177)&gt;1, "Possible Duplicate", "First Occurrence"))</f>
        <v>First Occurrence</v>
      </c>
      <c r="F1177" t="str">
        <f t="shared" si="36"/>
        <v>Absent</v>
      </c>
      <c r="H1177" t="str">
        <f t="shared" si="37"/>
        <v>Operations</v>
      </c>
    </row>
    <row r="1178" spans="1:8" x14ac:dyDescent="0.35">
      <c r="A1178" s="2" t="s">
        <v>239</v>
      </c>
      <c r="B1178" s="3">
        <v>46224</v>
      </c>
      <c r="C1178" s="2" t="s">
        <v>246</v>
      </c>
      <c r="D1178" s="2" t="s">
        <v>33</v>
      </c>
      <c r="E1178" t="str">
        <f>IF(OR(A1178="", B1178=""), "Check missing data", IF(COUNTIFS($A$2:A1178, A1178, $B$2:B1178, B1178)&gt;1, "Possible Duplicate", "First Occurrence"))</f>
        <v>First Occurrence</v>
      </c>
      <c r="F1178" t="str">
        <f t="shared" si="36"/>
        <v>Present</v>
      </c>
      <c r="H1178" t="str">
        <f t="shared" si="37"/>
        <v>Sales</v>
      </c>
    </row>
    <row r="1179" spans="1:8" x14ac:dyDescent="0.35">
      <c r="A1179" s="2" t="s">
        <v>239</v>
      </c>
      <c r="B1179" s="3">
        <v>46293</v>
      </c>
      <c r="C1179" s="2" t="s">
        <v>245</v>
      </c>
      <c r="D1179" s="2" t="s">
        <v>33</v>
      </c>
      <c r="E1179" t="str">
        <f>IF(OR(A1179="", B1179=""), "Check missing data", IF(COUNTIFS($A$2:A1179, A1179, $B$2:B1179, B1179)&gt;1, "Possible Duplicate", "First Occurrence"))</f>
        <v>First Occurrence</v>
      </c>
      <c r="F1179" t="str">
        <f t="shared" si="36"/>
        <v>Absent</v>
      </c>
      <c r="H1179" t="str">
        <f t="shared" si="37"/>
        <v>Sales</v>
      </c>
    </row>
    <row r="1180" spans="1:8" x14ac:dyDescent="0.35">
      <c r="A1180" s="2" t="s">
        <v>239</v>
      </c>
      <c r="B1180" s="3">
        <v>46254</v>
      </c>
      <c r="C1180" s="2" t="s">
        <v>246</v>
      </c>
      <c r="D1180" s="2" t="s">
        <v>33</v>
      </c>
      <c r="E1180" t="str">
        <f>IF(OR(A1180="", B1180=""), "Check missing data", IF(COUNTIFS($A$2:A1180, A1180, $B$2:B1180, B1180)&gt;1, "Possible Duplicate", "First Occurrence"))</f>
        <v>First Occurrence</v>
      </c>
      <c r="F1180" t="str">
        <f t="shared" si="36"/>
        <v>Present</v>
      </c>
      <c r="H1180" t="str">
        <f t="shared" si="37"/>
        <v>Sales</v>
      </c>
    </row>
    <row r="1181" spans="1:8" x14ac:dyDescent="0.35">
      <c r="A1181" s="2" t="s">
        <v>239</v>
      </c>
      <c r="B1181" s="3">
        <v>46209</v>
      </c>
      <c r="C1181" s="2" t="s">
        <v>247</v>
      </c>
      <c r="D1181" s="2" t="s">
        <v>33</v>
      </c>
      <c r="E1181" t="str">
        <f>IF(OR(A1181="", B1181=""), "Check missing data", IF(COUNTIFS($A$2:A1181, A1181, $B$2:B1181, B1181)&gt;1, "Possible Duplicate", "First Occurrence"))</f>
        <v>First Occurrence</v>
      </c>
      <c r="F1181" t="str">
        <f t="shared" si="36"/>
        <v>Late</v>
      </c>
      <c r="H1181" t="str">
        <f t="shared" si="37"/>
        <v>Sales</v>
      </c>
    </row>
    <row r="1182" spans="1:8" x14ac:dyDescent="0.35">
      <c r="A1182" s="2" t="s">
        <v>239</v>
      </c>
      <c r="B1182" s="3">
        <v>46230</v>
      </c>
      <c r="C1182" s="2" t="s">
        <v>247</v>
      </c>
      <c r="D1182" s="2" t="s">
        <v>33</v>
      </c>
      <c r="E1182" t="str">
        <f>IF(OR(A1182="", B1182=""), "Check missing data", IF(COUNTIFS($A$2:A1182, A1182, $B$2:B1182, B1182)&gt;1, "Possible Duplicate", "First Occurrence"))</f>
        <v>First Occurrence</v>
      </c>
      <c r="F1182" t="str">
        <f t="shared" si="36"/>
        <v>Late</v>
      </c>
      <c r="H1182" t="str">
        <f t="shared" si="37"/>
        <v>Sales</v>
      </c>
    </row>
    <row r="1183" spans="1:8" x14ac:dyDescent="0.35">
      <c r="A1183" s="2" t="s">
        <v>239</v>
      </c>
      <c r="B1183" s="3">
        <v>46226</v>
      </c>
      <c r="C1183" s="2" t="s">
        <v>246</v>
      </c>
      <c r="D1183" s="2" t="s">
        <v>33</v>
      </c>
      <c r="E1183" t="str">
        <f>IF(OR(A1183="", B1183=""), "Check missing data", IF(COUNTIFS($A$2:A1183, A1183, $B$2:B1183, B1183)&gt;1, "Possible Duplicate", "First Occurrence"))</f>
        <v>First Occurrence</v>
      </c>
      <c r="F1183" t="str">
        <f t="shared" si="36"/>
        <v>Present</v>
      </c>
      <c r="H1183" t="str">
        <f t="shared" si="37"/>
        <v>Sales</v>
      </c>
    </row>
    <row r="1184" spans="1:8" x14ac:dyDescent="0.35">
      <c r="A1184" s="2" t="s">
        <v>239</v>
      </c>
      <c r="B1184" s="3">
        <v>46247</v>
      </c>
      <c r="C1184" s="2" t="s">
        <v>245</v>
      </c>
      <c r="D1184" s="2" t="s">
        <v>33</v>
      </c>
      <c r="E1184" t="str">
        <f>IF(OR(A1184="", B1184=""), "Check missing data", IF(COUNTIFS($A$2:A1184, A1184, $B$2:B1184, B1184)&gt;1, "Possible Duplicate", "First Occurrence"))</f>
        <v>First Occurrence</v>
      </c>
      <c r="F1184" t="str">
        <f t="shared" si="36"/>
        <v>Absent</v>
      </c>
      <c r="H1184" t="str">
        <f t="shared" si="37"/>
        <v>Sales</v>
      </c>
    </row>
    <row r="1185" spans="1:8" x14ac:dyDescent="0.35">
      <c r="A1185" s="2" t="s">
        <v>239</v>
      </c>
      <c r="B1185" s="3">
        <v>46244</v>
      </c>
      <c r="C1185" s="2" t="s">
        <v>246</v>
      </c>
      <c r="D1185" s="2" t="s">
        <v>33</v>
      </c>
      <c r="E1185" t="str">
        <f>IF(OR(A1185="", B1185=""), "Check missing data", IF(COUNTIFS($A$2:A1185, A1185, $B$2:B1185, B1185)&gt;1, "Possible Duplicate", "First Occurrence"))</f>
        <v>First Occurrence</v>
      </c>
      <c r="F1185" t="str">
        <f t="shared" si="36"/>
        <v>Present</v>
      </c>
      <c r="H1185" t="str">
        <f t="shared" si="37"/>
        <v>Sales</v>
      </c>
    </row>
    <row r="1186" spans="1:8" x14ac:dyDescent="0.35">
      <c r="A1186" s="2" t="s">
        <v>239</v>
      </c>
      <c r="B1186" s="3">
        <v>46276</v>
      </c>
      <c r="C1186" s="2" t="s">
        <v>30</v>
      </c>
      <c r="D1186" s="2" t="s">
        <v>33</v>
      </c>
      <c r="E1186" t="str">
        <f>IF(OR(A1186="", B1186=""), "Check missing data", IF(COUNTIFS($A$2:A1186, A1186, $B$2:B1186, B1186)&gt;1, "Possible Duplicate", "First Occurrence"))</f>
        <v>First Occurrence</v>
      </c>
      <c r="F1186" t="str">
        <f t="shared" si="36"/>
        <v>On Leave</v>
      </c>
      <c r="H1186" t="str">
        <f t="shared" si="37"/>
        <v>Sales</v>
      </c>
    </row>
    <row r="1187" spans="1:8" x14ac:dyDescent="0.35">
      <c r="A1187" s="2" t="s">
        <v>239</v>
      </c>
      <c r="B1187" s="3">
        <v>46287</v>
      </c>
      <c r="C1187" s="2" t="s">
        <v>246</v>
      </c>
      <c r="D1187" s="2" t="s">
        <v>33</v>
      </c>
      <c r="E1187" t="str">
        <f>IF(OR(A1187="", B1187=""), "Check missing data", IF(COUNTIFS($A$2:A1187, A1187, $B$2:B1187, B1187)&gt;1, "Possible Duplicate", "First Occurrence"))</f>
        <v>First Occurrence</v>
      </c>
      <c r="F1187" t="str">
        <f t="shared" si="36"/>
        <v>Present</v>
      </c>
      <c r="H1187" t="str">
        <f t="shared" si="37"/>
        <v>Sales</v>
      </c>
    </row>
    <row r="1188" spans="1:8" x14ac:dyDescent="0.35">
      <c r="A1188" s="2" t="s">
        <v>239</v>
      </c>
      <c r="B1188" s="3">
        <v>46240</v>
      </c>
      <c r="C1188" s="2" t="s">
        <v>247</v>
      </c>
      <c r="D1188" s="2" t="s">
        <v>33</v>
      </c>
      <c r="E1188" t="str">
        <f>IF(OR(A1188="", B1188=""), "Check missing data", IF(COUNTIFS($A$2:A1188, A1188, $B$2:B1188, B1188)&gt;1, "Possible Duplicate", "First Occurrence"))</f>
        <v>First Occurrence</v>
      </c>
      <c r="F1188" t="str">
        <f t="shared" si="36"/>
        <v>Late</v>
      </c>
      <c r="H1188" t="str">
        <f t="shared" si="37"/>
        <v>Sales</v>
      </c>
    </row>
    <row r="1189" spans="1:8" x14ac:dyDescent="0.35">
      <c r="A1189" s="2" t="s">
        <v>239</v>
      </c>
      <c r="B1189" s="3">
        <v>46204</v>
      </c>
      <c r="C1189" s="2" t="s">
        <v>246</v>
      </c>
      <c r="D1189" s="2" t="s">
        <v>33</v>
      </c>
      <c r="E1189" t="str">
        <f>IF(OR(A1189="", B1189=""), "Check missing data", IF(COUNTIFS($A$2:A1189, A1189, $B$2:B1189, B1189)&gt;1, "Possible Duplicate", "First Occurrence"))</f>
        <v>First Occurrence</v>
      </c>
      <c r="F1189" t="str">
        <f t="shared" si="36"/>
        <v>Present</v>
      </c>
      <c r="H1189" t="str">
        <f t="shared" si="37"/>
        <v>Sales</v>
      </c>
    </row>
    <row r="1190" spans="1:8" x14ac:dyDescent="0.35">
      <c r="A1190" s="2" t="s">
        <v>241</v>
      </c>
      <c r="B1190" s="3">
        <v>46219</v>
      </c>
      <c r="C1190" s="2" t="s">
        <v>246</v>
      </c>
      <c r="D1190" s="2" t="s">
        <v>22</v>
      </c>
      <c r="E1190" t="str">
        <f>IF(OR(A1190="", B1190=""), "Check missing data", IF(COUNTIFS($A$2:A1190, A1190, $B$2:B1190, B1190)&gt;1, "Possible Duplicate", "First Occurrence"))</f>
        <v>First Occurrence</v>
      </c>
      <c r="F1190" t="str">
        <f t="shared" si="36"/>
        <v>Present</v>
      </c>
      <c r="H1190" t="str">
        <f t="shared" si="37"/>
        <v>IT</v>
      </c>
    </row>
    <row r="1191" spans="1:8" x14ac:dyDescent="0.35">
      <c r="A1191" s="2" t="s">
        <v>241</v>
      </c>
      <c r="B1191" s="3">
        <v>46289</v>
      </c>
      <c r="C1191" s="2" t="s">
        <v>246</v>
      </c>
      <c r="D1191" s="2" t="s">
        <v>22</v>
      </c>
      <c r="E1191" t="str">
        <f>IF(OR(A1191="", B1191=""), "Check missing data", IF(COUNTIFS($A$2:A1191, A1191, $B$2:B1191, B1191)&gt;1, "Possible Duplicate", "First Occurrence"))</f>
        <v>First Occurrence</v>
      </c>
      <c r="F1191" t="str">
        <f t="shared" si="36"/>
        <v>Present</v>
      </c>
      <c r="H1191" t="str">
        <f t="shared" si="37"/>
        <v>IT</v>
      </c>
    </row>
    <row r="1192" spans="1:8" x14ac:dyDescent="0.35">
      <c r="A1192" s="2" t="s">
        <v>241</v>
      </c>
      <c r="B1192" s="3">
        <v>46267</v>
      </c>
      <c r="C1192" s="2" t="s">
        <v>246</v>
      </c>
      <c r="D1192" s="2" t="s">
        <v>22</v>
      </c>
      <c r="E1192" t="str">
        <f>IF(OR(A1192="", B1192=""), "Check missing data", IF(COUNTIFS($A$2:A1192, A1192, $B$2:B1192, B1192)&gt;1, "Possible Duplicate", "First Occurrence"))</f>
        <v>First Occurrence</v>
      </c>
      <c r="F1192" t="str">
        <f t="shared" si="36"/>
        <v>Present</v>
      </c>
      <c r="H1192" t="str">
        <f t="shared" si="37"/>
        <v>IT</v>
      </c>
    </row>
    <row r="1193" spans="1:8" x14ac:dyDescent="0.35">
      <c r="A1193" s="2" t="s">
        <v>241</v>
      </c>
      <c r="B1193" s="3">
        <v>46213</v>
      </c>
      <c r="C1193" s="2" t="s">
        <v>246</v>
      </c>
      <c r="D1193" s="2" t="s">
        <v>22</v>
      </c>
      <c r="E1193" t="str">
        <f>IF(OR(A1193="", B1193=""), "Check missing data", IF(COUNTIFS($A$2:A1193, A1193, $B$2:B1193, B1193)&gt;1, "Possible Duplicate", "First Occurrence"))</f>
        <v>First Occurrence</v>
      </c>
      <c r="F1193" t="str">
        <f t="shared" si="36"/>
        <v>Present</v>
      </c>
      <c r="H1193" t="str">
        <f t="shared" si="37"/>
        <v>IT</v>
      </c>
    </row>
    <row r="1194" spans="1:8" x14ac:dyDescent="0.35">
      <c r="A1194" s="2" t="s">
        <v>241</v>
      </c>
      <c r="B1194" s="3">
        <v>46259</v>
      </c>
      <c r="C1194" s="2" t="s">
        <v>245</v>
      </c>
      <c r="D1194" s="2" t="s">
        <v>22</v>
      </c>
      <c r="E1194" t="str">
        <f>IF(OR(A1194="", B1194=""), "Check missing data", IF(COUNTIFS($A$2:A1194, A1194, $B$2:B1194, B1194)&gt;1, "Possible Duplicate", "First Occurrence"))</f>
        <v>First Occurrence</v>
      </c>
      <c r="F1194" t="str">
        <f t="shared" si="36"/>
        <v>Absent</v>
      </c>
      <c r="H1194" t="str">
        <f t="shared" si="37"/>
        <v>IT</v>
      </c>
    </row>
    <row r="1195" spans="1:8" x14ac:dyDescent="0.35">
      <c r="A1195" s="2" t="s">
        <v>241</v>
      </c>
      <c r="B1195" s="3">
        <v>46247</v>
      </c>
      <c r="C1195" s="2" t="s">
        <v>246</v>
      </c>
      <c r="D1195" s="2" t="s">
        <v>22</v>
      </c>
      <c r="E1195" t="str">
        <f>IF(OR(A1195="", B1195=""), "Check missing data", IF(COUNTIFS($A$2:A1195, A1195, $B$2:B1195, B1195)&gt;1, "Possible Duplicate", "First Occurrence"))</f>
        <v>First Occurrence</v>
      </c>
      <c r="F1195" t="str">
        <f t="shared" si="36"/>
        <v>Present</v>
      </c>
      <c r="H1195" t="str">
        <f t="shared" si="37"/>
        <v>IT</v>
      </c>
    </row>
    <row r="1196" spans="1:8" x14ac:dyDescent="0.35">
      <c r="A1196" s="2" t="s">
        <v>241</v>
      </c>
      <c r="B1196" s="3">
        <v>46294</v>
      </c>
      <c r="C1196" s="2" t="s">
        <v>246</v>
      </c>
      <c r="D1196" s="2" t="s">
        <v>22</v>
      </c>
      <c r="E1196" t="str">
        <f>IF(OR(A1196="", B1196=""), "Check missing data", IF(COUNTIFS($A$2:A1196, A1196, $B$2:B1196, B1196)&gt;1, "Possible Duplicate", "First Occurrence"))</f>
        <v>First Occurrence</v>
      </c>
      <c r="F1196" t="str">
        <f t="shared" si="36"/>
        <v>Present</v>
      </c>
      <c r="H1196" t="str">
        <f t="shared" si="37"/>
        <v>IT</v>
      </c>
    </row>
    <row r="1197" spans="1:8" x14ac:dyDescent="0.35">
      <c r="A1197" s="2" t="s">
        <v>241</v>
      </c>
      <c r="B1197" s="3">
        <v>46266</v>
      </c>
      <c r="C1197" s="2" t="s">
        <v>246</v>
      </c>
      <c r="D1197" s="2" t="s">
        <v>22</v>
      </c>
      <c r="E1197" t="str">
        <f>IF(OR(A1197="", B1197=""), "Check missing data", IF(COUNTIFS($A$2:A1197, A1197, $B$2:B1197, B1197)&gt;1, "Possible Duplicate", "First Occurrence"))</f>
        <v>First Occurrence</v>
      </c>
      <c r="F1197" t="str">
        <f t="shared" si="36"/>
        <v>Present</v>
      </c>
      <c r="H1197" t="str">
        <f t="shared" si="37"/>
        <v>IT</v>
      </c>
    </row>
    <row r="1198" spans="1:8" x14ac:dyDescent="0.35">
      <c r="A1198" s="2" t="s">
        <v>241</v>
      </c>
      <c r="B1198" s="3">
        <v>46253</v>
      </c>
      <c r="C1198" s="2" t="s">
        <v>30</v>
      </c>
      <c r="D1198" s="2" t="s">
        <v>22</v>
      </c>
      <c r="E1198" t="str">
        <f>IF(OR(A1198="", B1198=""), "Check missing data", IF(COUNTIFS($A$2:A1198, A1198, $B$2:B1198, B1198)&gt;1, "Possible Duplicate", "First Occurrence"))</f>
        <v>First Occurrence</v>
      </c>
      <c r="F1198" t="str">
        <f t="shared" si="36"/>
        <v>On Leave</v>
      </c>
      <c r="H1198" t="str">
        <f t="shared" si="37"/>
        <v>IT</v>
      </c>
    </row>
    <row r="1199" spans="1:8" x14ac:dyDescent="0.35">
      <c r="A1199" s="2" t="s">
        <v>241</v>
      </c>
      <c r="B1199" s="3">
        <v>46244</v>
      </c>
      <c r="C1199" s="2" t="s">
        <v>245</v>
      </c>
      <c r="D1199" s="2" t="s">
        <v>22</v>
      </c>
      <c r="E1199" t="str">
        <f>IF(OR(A1199="", B1199=""), "Check missing data", IF(COUNTIFS($A$2:A1199, A1199, $B$2:B1199, B1199)&gt;1, "Possible Duplicate", "First Occurrence"))</f>
        <v>First Occurrence</v>
      </c>
      <c r="F1199" t="str">
        <f t="shared" si="36"/>
        <v>Absent</v>
      </c>
      <c r="H1199" t="str">
        <f t="shared" si="37"/>
        <v>IT</v>
      </c>
    </row>
    <row r="1200" spans="1:8" x14ac:dyDescent="0.35">
      <c r="A1200" s="2" t="s">
        <v>241</v>
      </c>
      <c r="B1200" s="3">
        <v>46279</v>
      </c>
      <c r="C1200" s="2" t="s">
        <v>246</v>
      </c>
      <c r="D1200" s="2" t="s">
        <v>22</v>
      </c>
      <c r="E1200" t="str">
        <f>IF(OR(A1200="", B1200=""), "Check missing data", IF(COUNTIFS($A$2:A1200, A1200, $B$2:B1200, B1200)&gt;1, "Possible Duplicate", "First Occurrence"))</f>
        <v>First Occurrence</v>
      </c>
      <c r="F1200" t="str">
        <f t="shared" si="36"/>
        <v>Present</v>
      </c>
      <c r="H1200" t="str">
        <f t="shared" si="37"/>
        <v>IT</v>
      </c>
    </row>
    <row r="1201" spans="1:8" x14ac:dyDescent="0.35">
      <c r="A1201" s="2" t="s">
        <v>241</v>
      </c>
      <c r="B1201" s="3">
        <v>46226</v>
      </c>
      <c r="C1201" s="2" t="s">
        <v>246</v>
      </c>
      <c r="D1201" s="2" t="s">
        <v>22</v>
      </c>
      <c r="E1201" t="str">
        <f>IF(OR(A1201="", B1201=""), "Check missing data", IF(COUNTIFS($A$2:A1201, A1201, $B$2:B1201, B1201)&gt;1, "Possible Duplicate", "First Occurrence"))</f>
        <v>First Occurrence</v>
      </c>
      <c r="F1201" t="str">
        <f t="shared" si="36"/>
        <v>Present</v>
      </c>
      <c r="H1201" t="str">
        <f t="shared" si="37"/>
        <v>IT</v>
      </c>
    </row>
  </sheetData>
  <autoFilter ref="A1:E1201" xr:uid="{ACB01D97-9E6C-4BA6-8848-1F49FB4378D9}"/>
  <pageMargins left="0.75" right="0.75" top="1" bottom="1" header="0.5" footer="0.5"/>
  <ignoredErrors>
    <ignoredError sqref="E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68C0-E471-4A1E-9726-54770FCAD346}">
  <dimension ref="A1:K39"/>
  <sheetViews>
    <sheetView topLeftCell="A9" workbookViewId="0">
      <selection activeCell="G13" activeCellId="1" sqref="E13:E20 G13:G20"/>
    </sheetView>
  </sheetViews>
  <sheetFormatPr defaultRowHeight="14.5" x14ac:dyDescent="0.35"/>
  <cols>
    <col min="1" max="1" width="30.81640625" bestFit="1" customWidth="1"/>
    <col min="2" max="2" width="27.08984375" bestFit="1" customWidth="1"/>
    <col min="3" max="3" width="36.1796875" customWidth="1"/>
    <col min="5" max="5" width="15.90625" bestFit="1" customWidth="1"/>
    <col min="10" max="10" width="12.1796875" bestFit="1" customWidth="1"/>
  </cols>
  <sheetData>
    <row r="1" spans="1:10" x14ac:dyDescent="0.35">
      <c r="A1" s="5" t="s">
        <v>384</v>
      </c>
      <c r="B1" s="5" t="s">
        <v>327</v>
      </c>
      <c r="C1" s="5" t="s">
        <v>391</v>
      </c>
    </row>
    <row r="2" spans="1:10" x14ac:dyDescent="0.35">
      <c r="A2" t="s">
        <v>433</v>
      </c>
      <c r="B2">
        <f>COUNTA(Attendance_Clean!A:A)-1</f>
        <v>1200</v>
      </c>
      <c r="C2" t="s">
        <v>392</v>
      </c>
    </row>
    <row r="3" spans="1:10" x14ac:dyDescent="0.35">
      <c r="A3" t="s">
        <v>385</v>
      </c>
      <c r="B3">
        <f>COUNTBLANK(Attendance_Clean!A2:A1201)</f>
        <v>0</v>
      </c>
      <c r="C3" t="s">
        <v>393</v>
      </c>
    </row>
    <row r="4" spans="1:10" x14ac:dyDescent="0.35">
      <c r="A4" t="s">
        <v>386</v>
      </c>
      <c r="B4">
        <f>COUNTBLANK(Attendance_Clean!B2:B1201)</f>
        <v>0</v>
      </c>
      <c r="C4" t="s">
        <v>393</v>
      </c>
    </row>
    <row r="5" spans="1:10" x14ac:dyDescent="0.35">
      <c r="A5" t="s">
        <v>387</v>
      </c>
      <c r="B5">
        <f>COUNTBLANK(Attendance_Clean!C2:C1201)</f>
        <v>0</v>
      </c>
      <c r="C5" t="s">
        <v>393</v>
      </c>
    </row>
    <row r="6" spans="1:10" x14ac:dyDescent="0.35">
      <c r="A6" t="s">
        <v>388</v>
      </c>
      <c r="B6">
        <f>COUNTBLANK(Attendance_Clean!D2:D1201)</f>
        <v>0</v>
      </c>
      <c r="C6" t="s">
        <v>394</v>
      </c>
    </row>
    <row r="7" spans="1:10" ht="29" x14ac:dyDescent="0.35">
      <c r="A7" s="9" t="s">
        <v>389</v>
      </c>
      <c r="B7">
        <v>0</v>
      </c>
      <c r="C7" t="s">
        <v>395</v>
      </c>
    </row>
    <row r="8" spans="1:10" x14ac:dyDescent="0.35">
      <c r="A8" t="s">
        <v>390</v>
      </c>
      <c r="B8">
        <f>COUNTA(Attendance_Clean!G:G)-1</f>
        <v>4</v>
      </c>
    </row>
    <row r="9" spans="1:10" x14ac:dyDescent="0.35">
      <c r="A9" t="s">
        <v>398</v>
      </c>
      <c r="B9" t="s">
        <v>399</v>
      </c>
    </row>
    <row r="10" spans="1:10" x14ac:dyDescent="0.35">
      <c r="A10" t="s">
        <v>400</v>
      </c>
      <c r="B10" t="s">
        <v>403</v>
      </c>
    </row>
    <row r="11" spans="1:10" x14ac:dyDescent="0.35">
      <c r="A11" t="s">
        <v>401</v>
      </c>
      <c r="B11" t="s">
        <v>402</v>
      </c>
    </row>
    <row r="13" spans="1:10" x14ac:dyDescent="0.35">
      <c r="A13" s="5" t="s">
        <v>404</v>
      </c>
      <c r="B13" s="5" t="s">
        <v>405</v>
      </c>
      <c r="C13" s="5" t="s">
        <v>406</v>
      </c>
      <c r="E13" s="5" t="s">
        <v>2</v>
      </c>
      <c r="F13" s="5" t="s">
        <v>246</v>
      </c>
      <c r="G13" s="5" t="s">
        <v>245</v>
      </c>
      <c r="H13" s="5" t="s">
        <v>247</v>
      </c>
      <c r="I13" s="5" t="s">
        <v>30</v>
      </c>
      <c r="J13" s="5" t="s">
        <v>408</v>
      </c>
    </row>
    <row r="14" spans="1:10" x14ac:dyDescent="0.35">
      <c r="A14" t="s">
        <v>246</v>
      </c>
      <c r="B14">
        <f>COUNTIF(Attendance_Clean!$F$2:$F$1201,Attendance_Audit!A14)</f>
        <v>587</v>
      </c>
      <c r="C14" s="7">
        <f>B14/$B$18</f>
        <v>0.48916666666666669</v>
      </c>
      <c r="E14" t="s">
        <v>41</v>
      </c>
      <c r="F14">
        <f>COUNTIFS(Attendance_Clean!$H$2:$H$1201,Attendance_Audit!E14,Attendance_Clean!$F$2:$F$1201,"Present")</f>
        <v>106</v>
      </c>
      <c r="G14">
        <f>COUNTIFS(Attendance_Clean!$H$2:$H$1201,Attendance_Audit!E14,Attendance_Clean!$F$2:$F$1201,"Absent")</f>
        <v>50</v>
      </c>
      <c r="H14">
        <f>COUNTIFS(Attendance_Clean!$H$2:$H$1201,Attendance_Audit!E14,Attendance_Clean!$F$2:$F$1201,"Late")</f>
        <v>55</v>
      </c>
      <c r="I14">
        <f>COUNTIFS(Attendance_Clean!$H$2:$H$1201,Attendance_Audit!E14,Attendance_Clean!$F$2:$F$1201,"On Leave")</f>
        <v>53</v>
      </c>
      <c r="J14">
        <f>SUM(F14:I14)</f>
        <v>264</v>
      </c>
    </row>
    <row r="15" spans="1:10" x14ac:dyDescent="0.35">
      <c r="A15" t="s">
        <v>245</v>
      </c>
      <c r="B15">
        <f>COUNTIF(Attendance_Clean!$F$2:$F$1201,Attendance_Audit!A15)</f>
        <v>204</v>
      </c>
      <c r="C15" s="7">
        <f t="shared" ref="C15:C17" si="0">B15/$B$18</f>
        <v>0.17</v>
      </c>
      <c r="E15" t="s">
        <v>37</v>
      </c>
      <c r="F15">
        <f>COUNTIFS(Attendance_Clean!$H$2:$H$1201,Attendance_Audit!E15,Attendance_Clean!$F$2:$F$1201,"Present")</f>
        <v>114</v>
      </c>
      <c r="G15">
        <f>COUNTIFS(Attendance_Clean!$H$2:$H$1201,Attendance_Audit!E15,Attendance_Clean!$F$2:$F$1201,"Absent")</f>
        <v>36</v>
      </c>
      <c r="H15">
        <f>COUNTIFS(Attendance_Clean!$H$2:$H$1201,Attendance_Audit!E15,Attendance_Clean!$F$2:$F$1201,"Late")</f>
        <v>37</v>
      </c>
      <c r="I15">
        <f>COUNTIFS(Attendance_Clean!$H$2:$H$1201,Attendance_Audit!E15,Attendance_Clean!$F$2:$F$1201,"On Leave")</f>
        <v>29</v>
      </c>
      <c r="J15">
        <f t="shared" ref="J15:J19" si="1">SUM(F15:I15)</f>
        <v>216</v>
      </c>
    </row>
    <row r="16" spans="1:10" x14ac:dyDescent="0.35">
      <c r="A16" t="s">
        <v>247</v>
      </c>
      <c r="B16">
        <f>COUNTIF(Attendance_Clean!$F$2:$F$1201,Attendance_Audit!A16)</f>
        <v>200</v>
      </c>
      <c r="C16" s="7">
        <f t="shared" si="0"/>
        <v>0.16666666666666666</v>
      </c>
      <c r="E16" t="s">
        <v>11</v>
      </c>
      <c r="F16">
        <f>COUNTIFS(Attendance_Clean!$H$2:$H$1201,Attendance_Audit!E16,Attendance_Clean!$F$2:$F$1201,"Present")</f>
        <v>101</v>
      </c>
      <c r="G16">
        <f>COUNTIFS(Attendance_Clean!$H$2:$H$1201,Attendance_Audit!E16,Attendance_Clean!$F$2:$F$1201,"Absent")</f>
        <v>25</v>
      </c>
      <c r="H16">
        <f>COUNTIFS(Attendance_Clean!$H$2:$H$1201,Attendance_Audit!E16,Attendance_Clean!$F$2:$F$1201,"Late")</f>
        <v>24</v>
      </c>
      <c r="I16">
        <f>COUNTIFS(Attendance_Clean!$H$2:$H$1201,Attendance_Audit!E16,Attendance_Clean!$F$2:$F$1201,"On Leave")</f>
        <v>30</v>
      </c>
      <c r="J16">
        <f t="shared" si="1"/>
        <v>180</v>
      </c>
    </row>
    <row r="17" spans="1:11" x14ac:dyDescent="0.35">
      <c r="A17" t="s">
        <v>30</v>
      </c>
      <c r="B17">
        <f>COUNTIF(Attendance_Clean!$F$2:$F$1201,Attendance_Audit!A17)</f>
        <v>209</v>
      </c>
      <c r="C17" s="7">
        <f t="shared" si="0"/>
        <v>0.17416666666666666</v>
      </c>
      <c r="E17" t="s">
        <v>17</v>
      </c>
      <c r="F17">
        <f>COUNTIFS(Attendance_Clean!$H$2:$H$1201,Attendance_Audit!E17,Attendance_Clean!$F$2:$F$1201,"Present")</f>
        <v>89</v>
      </c>
      <c r="G17">
        <f>COUNTIFS(Attendance_Clean!$H$2:$H$1201,Attendance_Audit!E17,Attendance_Clean!$F$2:$F$1201,"Absent")</f>
        <v>28</v>
      </c>
      <c r="H17">
        <f>COUNTIFS(Attendance_Clean!$H$2:$H$1201,Attendance_Audit!E17,Attendance_Clean!$F$2:$F$1201,"Late")</f>
        <v>32</v>
      </c>
      <c r="I17">
        <f>COUNTIFS(Attendance_Clean!$H$2:$H$1201,Attendance_Audit!E17,Attendance_Clean!$F$2:$F$1201,"On Leave")</f>
        <v>31</v>
      </c>
      <c r="J17">
        <f t="shared" si="1"/>
        <v>180</v>
      </c>
    </row>
    <row r="18" spans="1:11" x14ac:dyDescent="0.35">
      <c r="A18" t="s">
        <v>407</v>
      </c>
      <c r="B18">
        <f>SUM(B14:B17)</f>
        <v>1200</v>
      </c>
      <c r="C18" s="14">
        <f>SUM(C14:C17)</f>
        <v>1</v>
      </c>
      <c r="E18" t="s">
        <v>22</v>
      </c>
      <c r="F18">
        <f>COUNTIFS(Attendance_Clean!$H$2:$H$1201,Attendance_Audit!E18,Attendance_Clean!$F$2:$F$1201,"Present")</f>
        <v>89</v>
      </c>
      <c r="G18">
        <f>COUNTIFS(Attendance_Clean!$H$2:$H$1201,Attendance_Audit!E18,Attendance_Clean!$F$2:$F$1201,"Absent")</f>
        <v>30</v>
      </c>
      <c r="H18">
        <f>COUNTIFS(Attendance_Clean!$H$2:$H$1201,Attendance_Audit!E18,Attendance_Clean!$F$2:$F$1201,"Late")</f>
        <v>30</v>
      </c>
      <c r="I18">
        <f>COUNTIFS(Attendance_Clean!$H$2:$H$1201,Attendance_Audit!E18,Attendance_Clean!$F$2:$F$1201,"On Leave")</f>
        <v>31</v>
      </c>
      <c r="J18">
        <f t="shared" si="1"/>
        <v>180</v>
      </c>
    </row>
    <row r="19" spans="1:11" x14ac:dyDescent="0.35">
      <c r="E19" t="s">
        <v>33</v>
      </c>
      <c r="F19">
        <f>COUNTIFS(Attendance_Clean!$H$2:$H$1201,Attendance_Audit!E19,Attendance_Clean!$F$2:$F$1201,"Present")</f>
        <v>83</v>
      </c>
      <c r="G19">
        <f>COUNTIFS(Attendance_Clean!$H$2:$H$1201,Attendance_Audit!E19,Attendance_Clean!$F$2:$F$1201,"Absent")</f>
        <v>34</v>
      </c>
      <c r="H19">
        <f>COUNTIFS(Attendance_Clean!$H$2:$H$1201,Attendance_Audit!E19,Attendance_Clean!$F$2:$F$1201,"Late")</f>
        <v>20</v>
      </c>
      <c r="I19">
        <f>COUNTIFS(Attendance_Clean!$H$2:$H$1201,Attendance_Audit!E19,Attendance_Clean!$F$2:$F$1201,"On Leave")</f>
        <v>31</v>
      </c>
      <c r="J19">
        <f t="shared" si="1"/>
        <v>168</v>
      </c>
      <c r="K19">
        <f>SUM(J14:J19)</f>
        <v>1188</v>
      </c>
    </row>
    <row r="20" spans="1:11" x14ac:dyDescent="0.35">
      <c r="E20" t="s">
        <v>431</v>
      </c>
      <c r="F20">
        <f>COUNTIFS(Attendance_Clean!$H$2:$H$1201,Attendance_Audit!E20,Attendance_Clean!$F$2:$F$1201,"Present")</f>
        <v>5</v>
      </c>
      <c r="G20">
        <f>COUNTIFS(Attendance_Clean!$H$2:$H$1201,Attendance_Audit!E20,Attendance_Clean!$F$2:$F$1201,"Absent")</f>
        <v>1</v>
      </c>
      <c r="H20">
        <f>COUNTIFS(Attendance_Clean!$H$2:$H$1201,Attendance_Audit!E20,Attendance_Clean!$F$2:$F$1201,"Late")</f>
        <v>2</v>
      </c>
      <c r="I20">
        <f>COUNTIFS(Attendance_Clean!$H$2:$H$1201,Attendance_Audit!E20,Attendance_Clean!$F$2:$F$1201,"On Leave")</f>
        <v>4</v>
      </c>
      <c r="J20">
        <f t="shared" ref="J20" si="2">SUM(F20:I20)</f>
        <v>12</v>
      </c>
    </row>
    <row r="21" spans="1:11" x14ac:dyDescent="0.35">
      <c r="F21">
        <f>SUM(F14:F20)</f>
        <v>587</v>
      </c>
      <c r="G21">
        <f>SUM(G14:G20)</f>
        <v>204</v>
      </c>
      <c r="H21">
        <f>SUM(H14:H20)</f>
        <v>200</v>
      </c>
      <c r="I21">
        <f>SUM(I14:I20)</f>
        <v>209</v>
      </c>
      <c r="J21">
        <f>SUM(F21:I21)</f>
        <v>1200</v>
      </c>
    </row>
    <row r="25" spans="1:11" x14ac:dyDescent="0.35">
      <c r="G25">
        <f>MAX(G14:G19)</f>
        <v>50</v>
      </c>
      <c r="H25">
        <f>MIN(G14:G19)</f>
        <v>25</v>
      </c>
    </row>
    <row r="27" spans="1:11" x14ac:dyDescent="0.35">
      <c r="A27" s="5" t="s">
        <v>384</v>
      </c>
      <c r="B27" s="5" t="s">
        <v>327</v>
      </c>
    </row>
    <row r="28" spans="1:11" ht="29" x14ac:dyDescent="0.35">
      <c r="A28" t="s">
        <v>410</v>
      </c>
      <c r="B28" s="9" t="s">
        <v>411</v>
      </c>
    </row>
    <row r="29" spans="1:11" x14ac:dyDescent="0.35">
      <c r="A29" t="s">
        <v>412</v>
      </c>
      <c r="B29">
        <v>12</v>
      </c>
    </row>
    <row r="30" spans="1:11" x14ac:dyDescent="0.35">
      <c r="A30" t="s">
        <v>413</v>
      </c>
      <c r="B30">
        <v>1</v>
      </c>
    </row>
    <row r="31" spans="1:11" ht="43.5" x14ac:dyDescent="0.35">
      <c r="A31" t="s">
        <v>414</v>
      </c>
      <c r="B31" s="9" t="s">
        <v>415</v>
      </c>
    </row>
    <row r="32" spans="1:11" ht="43.5" x14ac:dyDescent="0.35">
      <c r="A32" t="s">
        <v>416</v>
      </c>
      <c r="B32" s="9" t="s">
        <v>417</v>
      </c>
    </row>
    <row r="34" spans="1:3" x14ac:dyDescent="0.35">
      <c r="A34" s="5" t="s">
        <v>418</v>
      </c>
      <c r="B34" s="5" t="s">
        <v>419</v>
      </c>
    </row>
    <row r="35" spans="1:3" x14ac:dyDescent="0.35">
      <c r="A35" t="s">
        <v>246</v>
      </c>
      <c r="B35" t="s">
        <v>428</v>
      </c>
      <c r="C35" t="s">
        <v>424</v>
      </c>
    </row>
    <row r="36" spans="1:3" x14ac:dyDescent="0.35">
      <c r="A36" t="s">
        <v>245</v>
      </c>
      <c r="B36" t="s">
        <v>429</v>
      </c>
      <c r="C36" t="s">
        <v>425</v>
      </c>
    </row>
    <row r="37" spans="1:3" x14ac:dyDescent="0.35">
      <c r="A37" t="s">
        <v>41</v>
      </c>
      <c r="B37" t="s">
        <v>420</v>
      </c>
      <c r="C37" t="s">
        <v>426</v>
      </c>
    </row>
    <row r="38" spans="1:3" x14ac:dyDescent="0.35">
      <c r="A38" t="s">
        <v>11</v>
      </c>
      <c r="B38" t="s">
        <v>421</v>
      </c>
      <c r="C38" t="s">
        <v>427</v>
      </c>
    </row>
    <row r="39" spans="1:3" ht="72.5" x14ac:dyDescent="0.35">
      <c r="A39" t="s">
        <v>422</v>
      </c>
      <c r="B39" t="s">
        <v>423</v>
      </c>
      <c r="C39" s="9" t="s">
        <v>430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7C10-1E15-474E-8060-7B22EFFB4937}">
  <dimension ref="A1:P2"/>
  <sheetViews>
    <sheetView workbookViewId="0">
      <selection activeCell="O32" sqref="O32"/>
    </sheetView>
  </sheetViews>
  <sheetFormatPr defaultRowHeight="14.5" x14ac:dyDescent="0.35"/>
  <sheetData>
    <row r="1" spans="1:16" ht="23.5" x14ac:dyDescent="0.55000000000000004">
      <c r="A1" s="19" t="s">
        <v>432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15.5" x14ac:dyDescent="0.35">
      <c r="A2" s="18" t="s">
        <v>434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</sheetData>
  <mergeCells count="2">
    <mergeCell ref="A1:P1"/>
    <mergeCell ref="A2:P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21" customWidth="1"/>
    <col min="3" max="3" width="18" customWidth="1"/>
    <col min="4" max="4" width="23" customWidth="1"/>
    <col min="5" max="5" width="18" customWidth="1"/>
    <col min="6" max="6" width="17" customWidth="1"/>
    <col min="7" max="7" width="16" customWidth="1"/>
  </cols>
  <sheetData>
    <row r="1" spans="1:7" ht="30" customHeight="1" x14ac:dyDescent="0.35">
      <c r="A1" s="1" t="s">
        <v>248</v>
      </c>
      <c r="B1" s="1" t="s">
        <v>249</v>
      </c>
      <c r="C1" s="1" t="s">
        <v>2</v>
      </c>
      <c r="D1" s="1" t="s">
        <v>250</v>
      </c>
      <c r="E1" s="1" t="s">
        <v>251</v>
      </c>
      <c r="F1" s="1" t="s">
        <v>252</v>
      </c>
      <c r="G1" s="1" t="s">
        <v>253</v>
      </c>
    </row>
    <row r="2" spans="1:7" x14ac:dyDescent="0.35">
      <c r="A2" s="2" t="s">
        <v>254</v>
      </c>
      <c r="B2" s="3">
        <v>46285</v>
      </c>
      <c r="C2" s="2" t="s">
        <v>17</v>
      </c>
      <c r="D2" s="2" t="s">
        <v>93</v>
      </c>
      <c r="E2" s="2" t="s">
        <v>255</v>
      </c>
      <c r="F2" s="2" t="s">
        <v>256</v>
      </c>
      <c r="G2" s="2">
        <v>12</v>
      </c>
    </row>
    <row r="3" spans="1:7" x14ac:dyDescent="0.35">
      <c r="A3" s="2" t="s">
        <v>257</v>
      </c>
      <c r="B3" s="3">
        <v>46212</v>
      </c>
      <c r="C3" s="2" t="s">
        <v>22</v>
      </c>
      <c r="D3" s="2" t="s">
        <v>67</v>
      </c>
      <c r="E3" s="2" t="s">
        <v>258</v>
      </c>
      <c r="F3" s="2" t="s">
        <v>259</v>
      </c>
      <c r="G3" s="2">
        <v>33</v>
      </c>
    </row>
    <row r="4" spans="1:7" x14ac:dyDescent="0.35">
      <c r="A4" s="2" t="s">
        <v>260</v>
      </c>
      <c r="B4" s="3">
        <v>46279</v>
      </c>
      <c r="C4" s="2" t="s">
        <v>17</v>
      </c>
      <c r="D4" s="2" t="s">
        <v>93</v>
      </c>
      <c r="E4" s="2" t="s">
        <v>258</v>
      </c>
      <c r="F4" s="2" t="s">
        <v>259</v>
      </c>
      <c r="G4" s="2">
        <v>8</v>
      </c>
    </row>
    <row r="5" spans="1:7" x14ac:dyDescent="0.35">
      <c r="A5" s="2" t="s">
        <v>261</v>
      </c>
      <c r="B5" s="3">
        <v>46206</v>
      </c>
      <c r="C5" s="2" t="s">
        <v>41</v>
      </c>
      <c r="D5" s="2" t="s">
        <v>45</v>
      </c>
      <c r="E5" s="2" t="s">
        <v>258</v>
      </c>
      <c r="F5" s="2" t="s">
        <v>262</v>
      </c>
      <c r="G5" s="2">
        <v>23</v>
      </c>
    </row>
    <row r="6" spans="1:7" x14ac:dyDescent="0.35">
      <c r="A6" s="2" t="s">
        <v>263</v>
      </c>
      <c r="B6" s="3">
        <v>46293</v>
      </c>
      <c r="C6" s="2" t="s">
        <v>22</v>
      </c>
      <c r="D6" s="2" t="s">
        <v>67</v>
      </c>
      <c r="E6" s="2" t="s">
        <v>264</v>
      </c>
      <c r="F6" s="2" t="s">
        <v>256</v>
      </c>
      <c r="G6" s="2">
        <v>7</v>
      </c>
    </row>
    <row r="7" spans="1:7" x14ac:dyDescent="0.35">
      <c r="A7" s="2" t="s">
        <v>265</v>
      </c>
      <c r="B7" s="3">
        <v>46218</v>
      </c>
      <c r="C7" s="2" t="s">
        <v>37</v>
      </c>
      <c r="D7" s="2" t="s">
        <v>82</v>
      </c>
      <c r="E7" s="2" t="s">
        <v>266</v>
      </c>
      <c r="F7" s="2" t="s">
        <v>256</v>
      </c>
      <c r="G7" s="2">
        <v>39</v>
      </c>
    </row>
    <row r="8" spans="1:7" x14ac:dyDescent="0.35">
      <c r="A8" s="2" t="s">
        <v>267</v>
      </c>
      <c r="B8" s="3">
        <v>46255</v>
      </c>
      <c r="C8" s="2" t="s">
        <v>33</v>
      </c>
      <c r="D8" s="2" t="s">
        <v>87</v>
      </c>
      <c r="E8" s="2" t="s">
        <v>264</v>
      </c>
      <c r="F8" s="2" t="s">
        <v>256</v>
      </c>
      <c r="G8" s="2">
        <v>18</v>
      </c>
    </row>
    <row r="9" spans="1:7" x14ac:dyDescent="0.35">
      <c r="A9" s="2" t="s">
        <v>268</v>
      </c>
      <c r="B9" s="3">
        <v>46224</v>
      </c>
      <c r="C9" s="2" t="s">
        <v>33</v>
      </c>
      <c r="D9" s="2" t="s">
        <v>34</v>
      </c>
      <c r="E9" s="2" t="s">
        <v>269</v>
      </c>
      <c r="F9" s="2" t="s">
        <v>262</v>
      </c>
      <c r="G9" s="2">
        <v>28</v>
      </c>
    </row>
    <row r="10" spans="1:7" x14ac:dyDescent="0.35">
      <c r="A10" s="2" t="s">
        <v>270</v>
      </c>
      <c r="B10" s="3">
        <v>46265</v>
      </c>
      <c r="C10" s="2" t="s">
        <v>17</v>
      </c>
      <c r="D10" s="2" t="s">
        <v>57</v>
      </c>
      <c r="E10" s="2" t="s">
        <v>258</v>
      </c>
      <c r="F10" s="2" t="s">
        <v>259</v>
      </c>
      <c r="G10" s="2">
        <v>13</v>
      </c>
    </row>
    <row r="11" spans="1:7" x14ac:dyDescent="0.35">
      <c r="A11" s="2" t="s">
        <v>271</v>
      </c>
      <c r="B11" s="3">
        <v>46274</v>
      </c>
      <c r="C11" s="2" t="s">
        <v>41</v>
      </c>
      <c r="D11" s="2" t="s">
        <v>42</v>
      </c>
      <c r="E11" s="2" t="s">
        <v>255</v>
      </c>
      <c r="F11" s="2" t="s">
        <v>256</v>
      </c>
      <c r="G11" s="2">
        <v>23</v>
      </c>
    </row>
    <row r="12" spans="1:7" x14ac:dyDescent="0.35">
      <c r="A12" s="2" t="s">
        <v>272</v>
      </c>
      <c r="B12" s="3">
        <v>46211</v>
      </c>
      <c r="C12" s="2" t="s">
        <v>11</v>
      </c>
      <c r="D12" s="2" t="s">
        <v>12</v>
      </c>
      <c r="E12" s="2" t="s">
        <v>269</v>
      </c>
      <c r="F12" s="2" t="s">
        <v>262</v>
      </c>
      <c r="G12" s="2">
        <v>31</v>
      </c>
    </row>
    <row r="13" spans="1:7" x14ac:dyDescent="0.35">
      <c r="A13" s="2" t="s">
        <v>273</v>
      </c>
      <c r="B13" s="3">
        <v>46218</v>
      </c>
      <c r="C13" s="2" t="s">
        <v>41</v>
      </c>
      <c r="D13" s="2" t="s">
        <v>45</v>
      </c>
      <c r="E13" s="2" t="s">
        <v>264</v>
      </c>
      <c r="F13" s="2" t="s">
        <v>259</v>
      </c>
      <c r="G13" s="2">
        <v>18</v>
      </c>
    </row>
    <row r="14" spans="1:7" x14ac:dyDescent="0.35">
      <c r="A14" s="2" t="s">
        <v>274</v>
      </c>
      <c r="B14" s="3">
        <v>46287</v>
      </c>
      <c r="C14" s="2" t="s">
        <v>11</v>
      </c>
      <c r="D14" s="2" t="s">
        <v>141</v>
      </c>
      <c r="E14" s="2" t="s">
        <v>255</v>
      </c>
      <c r="F14" s="2" t="s">
        <v>262</v>
      </c>
      <c r="G14" s="2">
        <v>9</v>
      </c>
    </row>
    <row r="15" spans="1:7" x14ac:dyDescent="0.35">
      <c r="A15" s="2" t="s">
        <v>275</v>
      </c>
      <c r="B15" s="3">
        <v>46283</v>
      </c>
      <c r="C15" s="2" t="s">
        <v>41</v>
      </c>
      <c r="D15" s="2" t="s">
        <v>45</v>
      </c>
      <c r="E15" s="2" t="s">
        <v>258</v>
      </c>
      <c r="F15" s="2" t="s">
        <v>276</v>
      </c>
      <c r="G15" s="2">
        <v>16</v>
      </c>
    </row>
    <row r="16" spans="1:7" x14ac:dyDescent="0.35">
      <c r="A16" s="2" t="s">
        <v>277</v>
      </c>
      <c r="B16" s="3">
        <v>46276</v>
      </c>
      <c r="C16" s="2" t="s">
        <v>22</v>
      </c>
      <c r="D16" s="2" t="s">
        <v>23</v>
      </c>
      <c r="E16" s="2" t="s">
        <v>278</v>
      </c>
      <c r="F16" s="2" t="s">
        <v>256</v>
      </c>
      <c r="G16" s="2">
        <v>15</v>
      </c>
    </row>
    <row r="17" spans="1:7" x14ac:dyDescent="0.35">
      <c r="A17" s="2" t="s">
        <v>279</v>
      </c>
      <c r="B17" s="3">
        <v>46232</v>
      </c>
      <c r="C17" s="2" t="s">
        <v>17</v>
      </c>
      <c r="D17" s="2" t="s">
        <v>18</v>
      </c>
      <c r="E17" s="2" t="s">
        <v>264</v>
      </c>
      <c r="F17" s="2" t="s">
        <v>256</v>
      </c>
      <c r="G17" s="2">
        <v>30</v>
      </c>
    </row>
    <row r="18" spans="1:7" x14ac:dyDescent="0.35">
      <c r="A18" s="2" t="s">
        <v>280</v>
      </c>
      <c r="B18" s="3">
        <v>46208</v>
      </c>
      <c r="C18" s="2" t="s">
        <v>22</v>
      </c>
      <c r="D18" s="2" t="s">
        <v>67</v>
      </c>
      <c r="E18" s="2" t="s">
        <v>269</v>
      </c>
      <c r="F18" s="2" t="s">
        <v>256</v>
      </c>
      <c r="G18" s="2">
        <v>43</v>
      </c>
    </row>
    <row r="19" spans="1:7" x14ac:dyDescent="0.35">
      <c r="A19" s="2" t="s">
        <v>281</v>
      </c>
      <c r="B19" s="3">
        <v>46261</v>
      </c>
      <c r="C19" s="2" t="s">
        <v>33</v>
      </c>
      <c r="D19" s="2" t="s">
        <v>87</v>
      </c>
      <c r="E19" s="2" t="s">
        <v>255</v>
      </c>
      <c r="F19" s="2" t="s">
        <v>259</v>
      </c>
      <c r="G19" s="2">
        <v>29</v>
      </c>
    </row>
    <row r="20" spans="1:7" x14ac:dyDescent="0.35">
      <c r="A20" s="2" t="s">
        <v>282</v>
      </c>
      <c r="B20" s="3">
        <v>46290</v>
      </c>
      <c r="C20" s="2" t="s">
        <v>41</v>
      </c>
      <c r="D20" s="2" t="s">
        <v>42</v>
      </c>
      <c r="E20" s="2" t="s">
        <v>266</v>
      </c>
      <c r="F20" s="2" t="s">
        <v>262</v>
      </c>
      <c r="G20" s="2">
        <v>5</v>
      </c>
    </row>
    <row r="21" spans="1:7" x14ac:dyDescent="0.35">
      <c r="A21" s="2" t="s">
        <v>283</v>
      </c>
      <c r="B21" s="3">
        <v>46261</v>
      </c>
      <c r="C21" s="2" t="s">
        <v>37</v>
      </c>
      <c r="D21" s="2" t="s">
        <v>38</v>
      </c>
      <c r="E21" s="2" t="s">
        <v>266</v>
      </c>
      <c r="F21" s="2" t="s">
        <v>262</v>
      </c>
      <c r="G21" s="2">
        <v>20</v>
      </c>
    </row>
    <row r="22" spans="1:7" x14ac:dyDescent="0.35">
      <c r="A22" s="2" t="s">
        <v>284</v>
      </c>
      <c r="B22" s="3">
        <v>46279</v>
      </c>
      <c r="C22" s="2" t="s">
        <v>17</v>
      </c>
      <c r="D22" s="2" t="s">
        <v>18</v>
      </c>
      <c r="E22" s="2" t="s">
        <v>266</v>
      </c>
      <c r="F22" s="2" t="s">
        <v>256</v>
      </c>
      <c r="G22" s="2">
        <v>22</v>
      </c>
    </row>
    <row r="23" spans="1:7" x14ac:dyDescent="0.35">
      <c r="A23" s="2" t="s">
        <v>285</v>
      </c>
      <c r="B23" s="3">
        <v>46268</v>
      </c>
      <c r="C23" s="2" t="s">
        <v>41</v>
      </c>
      <c r="D23" s="2" t="s">
        <v>42</v>
      </c>
      <c r="E23" s="2" t="s">
        <v>278</v>
      </c>
      <c r="F23" s="2" t="s">
        <v>259</v>
      </c>
      <c r="G23" s="2">
        <v>32</v>
      </c>
    </row>
    <row r="24" spans="1:7" x14ac:dyDescent="0.35">
      <c r="A24" s="2" t="s">
        <v>286</v>
      </c>
      <c r="B24" s="3">
        <v>46206</v>
      </c>
      <c r="C24" s="2" t="s">
        <v>41</v>
      </c>
      <c r="D24" s="2" t="s">
        <v>132</v>
      </c>
      <c r="E24" s="2" t="s">
        <v>264</v>
      </c>
      <c r="F24" s="2" t="s">
        <v>256</v>
      </c>
      <c r="G24" s="2">
        <v>24</v>
      </c>
    </row>
    <row r="25" spans="1:7" x14ac:dyDescent="0.35">
      <c r="A25" s="2" t="s">
        <v>287</v>
      </c>
      <c r="B25" s="3">
        <v>46248</v>
      </c>
      <c r="C25" s="2" t="s">
        <v>11</v>
      </c>
      <c r="D25" s="2" t="s">
        <v>141</v>
      </c>
      <c r="E25" s="2" t="s">
        <v>269</v>
      </c>
      <c r="F25" s="2" t="s">
        <v>256</v>
      </c>
      <c r="G25" s="2">
        <v>12</v>
      </c>
    </row>
    <row r="26" spans="1:7" x14ac:dyDescent="0.35">
      <c r="A26" s="2" t="s">
        <v>288</v>
      </c>
      <c r="B26" s="3">
        <v>46227</v>
      </c>
      <c r="C26" s="2" t="s">
        <v>33</v>
      </c>
      <c r="D26" s="2" t="s">
        <v>34</v>
      </c>
      <c r="E26" s="2" t="s">
        <v>258</v>
      </c>
      <c r="F26" s="2" t="s">
        <v>259</v>
      </c>
      <c r="G26" s="2">
        <v>17</v>
      </c>
    </row>
    <row r="27" spans="1:7" x14ac:dyDescent="0.35">
      <c r="A27" s="2" t="s">
        <v>289</v>
      </c>
      <c r="B27" s="3">
        <v>46214</v>
      </c>
      <c r="C27" s="2" t="s">
        <v>41</v>
      </c>
      <c r="D27" s="2" t="s">
        <v>45</v>
      </c>
      <c r="E27" s="2" t="s">
        <v>269</v>
      </c>
      <c r="F27" s="2" t="s">
        <v>276</v>
      </c>
      <c r="G27" s="2">
        <v>6</v>
      </c>
    </row>
    <row r="28" spans="1:7" x14ac:dyDescent="0.35">
      <c r="A28" s="2" t="s">
        <v>290</v>
      </c>
      <c r="B28" s="3">
        <v>46272</v>
      </c>
      <c r="C28" s="2" t="s">
        <v>33</v>
      </c>
      <c r="D28" s="2" t="s">
        <v>100</v>
      </c>
      <c r="E28" s="2" t="s">
        <v>258</v>
      </c>
      <c r="F28" s="2" t="s">
        <v>276</v>
      </c>
      <c r="G28" s="2">
        <v>20</v>
      </c>
    </row>
    <row r="29" spans="1:7" x14ac:dyDescent="0.35">
      <c r="A29" s="2" t="s">
        <v>291</v>
      </c>
      <c r="B29" s="3">
        <v>46244</v>
      </c>
      <c r="C29" s="2" t="s">
        <v>17</v>
      </c>
      <c r="D29" s="2" t="s">
        <v>18</v>
      </c>
      <c r="E29" s="2" t="s">
        <v>278</v>
      </c>
      <c r="F29" s="2" t="s">
        <v>276</v>
      </c>
      <c r="G29" s="2">
        <v>41</v>
      </c>
    </row>
    <row r="30" spans="1:7" x14ac:dyDescent="0.35">
      <c r="A30" s="2" t="s">
        <v>292</v>
      </c>
      <c r="B30" s="3">
        <v>46279</v>
      </c>
      <c r="C30" s="2" t="s">
        <v>33</v>
      </c>
      <c r="D30" s="2" t="s">
        <v>100</v>
      </c>
      <c r="E30" s="2" t="s">
        <v>278</v>
      </c>
      <c r="F30" s="2" t="s">
        <v>259</v>
      </c>
      <c r="G30" s="2">
        <v>39</v>
      </c>
    </row>
    <row r="31" spans="1:7" x14ac:dyDescent="0.35">
      <c r="A31" s="2" t="s">
        <v>293</v>
      </c>
      <c r="B31" s="3">
        <v>46274</v>
      </c>
      <c r="C31" s="2" t="s">
        <v>17</v>
      </c>
      <c r="D31" s="2" t="s">
        <v>57</v>
      </c>
      <c r="E31" s="2" t="s">
        <v>278</v>
      </c>
      <c r="F31" s="2" t="s">
        <v>259</v>
      </c>
      <c r="G31" s="2">
        <v>38</v>
      </c>
    </row>
  </sheetData>
  <autoFilter ref="A1:G31" xr:uid="{00000000-0009-0000-0000-000002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tabSelected="1" workbookViewId="0">
      <pane ySplit="1" topLeftCell="A2" activePane="bottomLeft" state="frozen"/>
      <selection pane="bottomLeft" activeCell="B16" sqref="B16"/>
    </sheetView>
  </sheetViews>
  <sheetFormatPr defaultRowHeight="14.5" x14ac:dyDescent="0.35"/>
  <cols>
    <col min="1" max="1" width="18" customWidth="1"/>
    <col min="2" max="2" width="42" customWidth="1"/>
  </cols>
  <sheetData>
    <row r="1" spans="1:2" ht="30" customHeight="1" x14ac:dyDescent="0.35">
      <c r="A1" s="1" t="s">
        <v>294</v>
      </c>
      <c r="B1" s="1" t="s">
        <v>295</v>
      </c>
    </row>
    <row r="2" spans="1:2" x14ac:dyDescent="0.35">
      <c r="A2" s="2" t="s">
        <v>0</v>
      </c>
      <c r="B2" s="2" t="s">
        <v>435</v>
      </c>
    </row>
    <row r="3" spans="1:2" x14ac:dyDescent="0.35">
      <c r="A3" s="2" t="s">
        <v>1</v>
      </c>
      <c r="B3" s="2" t="s">
        <v>436</v>
      </c>
    </row>
    <row r="4" spans="1:2" x14ac:dyDescent="0.35">
      <c r="A4" s="2" t="s">
        <v>2</v>
      </c>
      <c r="B4" s="2" t="s">
        <v>2</v>
      </c>
    </row>
    <row r="5" spans="1:2" x14ac:dyDescent="0.35">
      <c r="A5" s="2" t="s">
        <v>3</v>
      </c>
      <c r="B5" s="2" t="s">
        <v>296</v>
      </c>
    </row>
    <row r="6" spans="1:2" x14ac:dyDescent="0.35">
      <c r="A6" s="2" t="s">
        <v>4</v>
      </c>
      <c r="B6" s="2" t="s">
        <v>297</v>
      </c>
    </row>
    <row r="7" spans="1:2" x14ac:dyDescent="0.35">
      <c r="A7" s="2" t="s">
        <v>5</v>
      </c>
      <c r="B7" s="2" t="s">
        <v>437</v>
      </c>
    </row>
    <row r="8" spans="1:2" x14ac:dyDescent="0.35">
      <c r="A8" s="2" t="s">
        <v>6</v>
      </c>
      <c r="B8" s="2" t="s">
        <v>298</v>
      </c>
    </row>
    <row r="9" spans="1:2" x14ac:dyDescent="0.35">
      <c r="A9" s="2" t="s">
        <v>7</v>
      </c>
      <c r="B9" s="2" t="s">
        <v>438</v>
      </c>
    </row>
    <row r="10" spans="1:2" x14ac:dyDescent="0.35">
      <c r="A10" s="2" t="s">
        <v>8</v>
      </c>
      <c r="B10" s="2" t="s">
        <v>439</v>
      </c>
    </row>
    <row r="11" spans="1:2" x14ac:dyDescent="0.35">
      <c r="A11" s="2" t="s">
        <v>243</v>
      </c>
      <c r="B11" s="2" t="s">
        <v>299</v>
      </c>
    </row>
    <row r="12" spans="1:2" x14ac:dyDescent="0.35">
      <c r="A12" s="2" t="s">
        <v>244</v>
      </c>
      <c r="B12" s="2" t="s">
        <v>440</v>
      </c>
    </row>
    <row r="13" spans="1:2" x14ac:dyDescent="0.35">
      <c r="A13" s="2" t="s">
        <v>248</v>
      </c>
      <c r="B13" s="2" t="s">
        <v>300</v>
      </c>
    </row>
    <row r="14" spans="1:2" x14ac:dyDescent="0.35">
      <c r="A14" s="2" t="s">
        <v>251</v>
      </c>
      <c r="B14" s="2" t="s">
        <v>301</v>
      </c>
    </row>
    <row r="15" spans="1:2" x14ac:dyDescent="0.35">
      <c r="A15" s="2" t="s">
        <v>253</v>
      </c>
      <c r="B15" s="2" t="s">
        <v>441</v>
      </c>
    </row>
  </sheetData>
  <autoFilter ref="A1:B15" xr:uid="{00000000-0009-0000-0000-000003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42" customWidth="1"/>
  </cols>
  <sheetData>
    <row r="1" spans="1:2" ht="30" customHeight="1" x14ac:dyDescent="0.35">
      <c r="A1" s="1" t="s">
        <v>302</v>
      </c>
      <c r="B1" s="1" t="s">
        <v>303</v>
      </c>
    </row>
    <row r="2" spans="1:2" ht="43.5" x14ac:dyDescent="0.35">
      <c r="A2" s="2" t="s">
        <v>304</v>
      </c>
      <c r="B2" s="2" t="s">
        <v>305</v>
      </c>
    </row>
    <row r="3" spans="1:2" ht="43.5" x14ac:dyDescent="0.35">
      <c r="A3" s="2" t="s">
        <v>306</v>
      </c>
      <c r="B3" s="2" t="s">
        <v>307</v>
      </c>
    </row>
    <row r="4" spans="1:2" ht="58" x14ac:dyDescent="0.35">
      <c r="A4" s="2" t="s">
        <v>308</v>
      </c>
      <c r="B4" s="2" t="s">
        <v>309</v>
      </c>
    </row>
    <row r="5" spans="1:2" ht="58" x14ac:dyDescent="0.35">
      <c r="A5" s="2" t="s">
        <v>310</v>
      </c>
      <c r="B5" s="2" t="s">
        <v>311</v>
      </c>
    </row>
    <row r="6" spans="1:2" ht="29" x14ac:dyDescent="0.35">
      <c r="A6" s="2" t="s">
        <v>312</v>
      </c>
      <c r="B6" s="2" t="s">
        <v>313</v>
      </c>
    </row>
    <row r="7" spans="1:2" ht="43.5" x14ac:dyDescent="0.35">
      <c r="A7" s="2" t="s">
        <v>314</v>
      </c>
      <c r="B7" s="2" t="s">
        <v>315</v>
      </c>
    </row>
    <row r="8" spans="1:2" ht="43.5" x14ac:dyDescent="0.35">
      <c r="A8" s="2" t="s">
        <v>316</v>
      </c>
      <c r="B8" s="2" t="s">
        <v>317</v>
      </c>
    </row>
    <row r="9" spans="1:2" ht="29" x14ac:dyDescent="0.35">
      <c r="A9" s="2" t="s">
        <v>318</v>
      </c>
      <c r="B9" s="2" t="s">
        <v>319</v>
      </c>
    </row>
    <row r="10" spans="1:2" ht="43.5" x14ac:dyDescent="0.35">
      <c r="A10" s="2" t="s">
        <v>320</v>
      </c>
      <c r="B10" s="2" t="s">
        <v>321</v>
      </c>
    </row>
  </sheetData>
  <autoFilter ref="A1:B10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Employees_Raw</vt:lpstr>
      <vt:lpstr>Employees_Cleaning</vt:lpstr>
      <vt:lpstr>Employee_Audit</vt:lpstr>
      <vt:lpstr>Workforce_Metrics</vt:lpstr>
      <vt:lpstr>HR_Dashboard</vt:lpstr>
      <vt:lpstr>Attendance_Raw</vt:lpstr>
      <vt:lpstr>Attendance_Clean</vt:lpstr>
      <vt:lpstr>Attendance_Audit</vt:lpstr>
      <vt:lpstr>Attendance_Dashboard</vt:lpstr>
      <vt:lpstr>Recruitment_Raw</vt:lpstr>
      <vt:lpstr>Data_Dictionary</vt:lpstr>
      <vt:lpstr>Project_Guide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</cp:lastModifiedBy>
  <dcterms:created xsi:type="dcterms:W3CDTF">2026-10-10T03:17:14Z</dcterms:created>
  <dcterms:modified xsi:type="dcterms:W3CDTF">2026-10-12T06:04:51Z</dcterms:modified>
</cp:coreProperties>
</file>